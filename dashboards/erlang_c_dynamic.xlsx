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Erlang C Calculator" sheetId="2" state="visible" r:id="rId4"/>
    <sheet name="Daily Summary" sheetId="3" state="visible" r:id="rId5"/>
    <sheet name="Scenario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<sst xmlns="http://schemas.openxmlformats.org/spreadsheetml/2006/main" count="649" uniqueCount="113">
  <si>
    <t xml:space="preserve">ERLANG C STAFFING MODEL — DYNAMIC</t>
  </si>
  <si>
    <t xml:space="preserve">Change any blue value — all calculations update automatically</t>
  </si>
  <si>
    <t xml:space="preserve">MODEL INPUTS</t>
  </si>
  <si>
    <t xml:space="preserve">NOTES</t>
  </si>
  <si>
    <t xml:space="preserve">Average Handle Time (AHT)</t>
  </si>
  <si>
    <t xml:space="preserve">seconds — from EDA analysis of answered calls</t>
  </si>
  <si>
    <t xml:space="preserve">Target Service Level</t>
  </si>
  <si>
    <t xml:space="preserve">% of calls answered within target time</t>
  </si>
  <si>
    <t xml:space="preserve">Target Answer Time</t>
  </si>
  <si>
    <t xml:space="preserve">seconds — industry standard is 80% in 20s</t>
  </si>
  <si>
    <t xml:space="preserve">Shrinkage</t>
  </si>
  <si>
    <t xml:space="preserve">% — breaks, training, meetings, absenteeism</t>
  </si>
  <si>
    <t xml:space="preserve">Max Occupancy</t>
  </si>
  <si>
    <t xml:space="preserve">% — agent burnout threshold</t>
  </si>
  <si>
    <t xml:space="preserve">Interval Duration</t>
  </si>
  <si>
    <t xml:space="preserve">minutes — hourly intervals</t>
  </si>
  <si>
    <t xml:space="preserve">DERIVED VALUES (auto-calculated)</t>
  </si>
  <si>
    <t xml:space="preserve">FORMULA EXPLANATION</t>
  </si>
  <si>
    <t xml:space="preserve">AHT in Hours</t>
  </si>
  <si>
    <t xml:space="preserve">Converts seconds to hours for Erlang formula</t>
  </si>
  <si>
    <t xml:space="preserve">Shrinkage Multiplier</t>
  </si>
  <si>
    <t xml:space="preserve">30% shrinkage means 70% productive time</t>
  </si>
  <si>
    <t xml:space="preserve">Service Level Decimal</t>
  </si>
  <si>
    <t xml:space="preserve">Converts percentage to decimal</t>
  </si>
  <si>
    <t xml:space="preserve">ERLANG C — STEP BY STEP</t>
  </si>
  <si>
    <t xml:space="preserve">Step 1: Traffic Intensity (A)</t>
  </si>
  <si>
    <t xml:space="preserve">Calls/hr × AHT in hours</t>
  </si>
  <si>
    <t xml:space="preserve">Measures offered load in Erlangs</t>
  </si>
  <si>
    <t xml:space="preserve">Step 2: Erlang C Prob (Pw)</t>
  </si>
  <si>
    <t xml:space="preserve">1 - POISSON.DIST(N-1, A, TRUE)</t>
  </si>
  <si>
    <t xml:space="preserve">Probability a caller must wait</t>
  </si>
  <si>
    <t xml:space="preserve">Step 3: Service Level</t>
  </si>
  <si>
    <t xml:space="preserve">1 - Pw × EXP(-(N-A)×t/AHT)</t>
  </si>
  <si>
    <t xml:space="preserve">Step 4: Agents with Shrinkage</t>
  </si>
  <si>
    <t xml:space="preserve">ROUNDUP(N / shrinkage_mult, 0)</t>
  </si>
  <si>
    <t xml:space="preserve">Actual headcount to schedule</t>
  </si>
  <si>
    <t xml:space="preserve">Step 5: Occupancy</t>
  </si>
  <si>
    <t xml:space="preserve">A / N × 100</t>
  </si>
  <si>
    <t xml:space="preserve">Keep below 85% to prevent burnout</t>
  </si>
  <si>
    <t xml:space="preserve">Date</t>
  </si>
  <si>
    <t xml:space="preserve">Hour</t>
  </si>
  <si>
    <t xml:space="preserve">Forecasted Calls</t>
  </si>
  <si>
    <t xml:space="preserve">Traffic Intensity (A)</t>
  </si>
  <si>
    <t xml:space="preserve">Raw Agents (N)</t>
  </si>
  <si>
    <t xml:space="preserve">Erlang C Prob (Pw)</t>
  </si>
  <si>
    <t xml:space="preserve">Service Level (%)</t>
  </si>
  <si>
    <t xml:space="preserve">Agents w/ Shrinkage</t>
  </si>
  <si>
    <t xml:space="preserve">Occupancy (%)</t>
  </si>
  <si>
    <t xml:space="preserve">SL Status</t>
  </si>
  <si>
    <t xml:space="preserve">Forecast Low</t>
  </si>
  <si>
    <t xml:space="preserve">Forecast High</t>
  </si>
  <si>
    <t xml:space="preserve">2015-04-01</t>
  </si>
  <si>
    <t xml:space="preserve">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</si>
  <si>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</si>
  <si>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</si>
  <si>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</si>
  <si>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</si>
  <si>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</si>
  <si>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</si>
  <si>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</si>
  <si>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</si>
  <si>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2015-04-02</t>
  </si>
  <si>
    <t xml:space="preserve">2015-04-03</t>
  </si>
  <si>
    <t xml:space="preserve">2015-04-04</t>
  </si>
  <si>
    <t xml:space="preserve">2015-04-05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</si>
  <si>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</si>
  <si>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</si>
  <si>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</si>
  <si>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</si>
  <si>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</si>
  <si>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2015-04-11</t>
  </si>
  <si>
    <t xml:space="preserve">2015-04-12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</si>
  <si>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</si>
  <si>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</si>
  <si>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</si>
  <si>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</si>
  <si>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</si>
  <si>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2015-04-18</t>
  </si>
  <si>
    <t xml:space="preserve">2015-04-19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</si>
  <si>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</si>
  <si>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</si>
  <si>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</si>
  <si>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</si>
  <si>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</si>
  <si>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2015-04-25</t>
  </si>
  <si>
    <t xml:space="preserve">2015-04-26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</si>
  <si>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</si>
  <si>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</si>
  <si>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</si>
  <si>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</si>
  <si>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Total Calls</t>
  </si>
  <si>
    <t xml:space="preserve">Max Agents (Shrinkage)</t>
  </si>
  <si>
    <t xml:space="preserve">Avg SL (%)</t>
  </si>
  <si>
    <t xml:space="preserve">Min SL (%)</t>
  </si>
  <si>
    <t xml:space="preserve">Status</t>
  </si>
  <si>
    <t xml:space="preserve">SUMMARY</t>
  </si>
  <si>
    <t xml:space="preserve">SCENARIO ANALYSIS — INTERACTIVE</t>
  </si>
  <si>
    <t xml:space="preserve">Change the blue values to model any scenario</t>
  </si>
  <si>
    <t xml:space="preserve">Test Volume (calls/hour)</t>
  </si>
  <si>
    <t xml:space="preserve">Change this to test different volumes</t>
  </si>
  <si>
    <t xml:space="preserve">AHT (seconds)</t>
  </si>
  <si>
    <t xml:space="preserve">Linked to Inputs sheet</t>
  </si>
  <si>
    <t xml:space="preserve">Traffic Intensity (Erlangs)</t>
  </si>
  <si>
    <t xml:space="preserve">AGENT ITERATION TABLE</t>
  </si>
  <si>
    <t xml:space="preserve">Agents (N)</t>
  </si>
  <si>
    <t xml:space="preserve">Traffic (A)</t>
  </si>
  <si>
    <t xml:space="preserve">Erlang C Prob</t>
  </si>
  <si>
    <t xml:space="preserve">HOW TO USE:</t>
  </si>
  <si>
    <t xml:space="preserve">1. Set test volume in C5 (blue). All formulas recalculate.</t>
  </si>
  <si>
    <t xml:space="preserve">2. Read down Service Level column — find first row &gt;= your target (80%).</t>
  </si>
  <si>
    <t xml:space="preserve">3. That Agents value = raw need. Agents w/ Shrinkage = actual headcount.</t>
  </si>
  <si>
    <t xml:space="preserve">4. If Occupancy &gt; 85%, add agents even if SL target is met.</t>
  </si>
  <si>
    <t xml:space="preserve">5. Change AHT or Shrinkage on Inputs sheet to see impact.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</si>
</sst>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0"/>
    <numFmt numFmtId="167" formatCode="0.00%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610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E2EFDA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50"/>
  </cols>
  <sheetData>
    <row r="2" customFormat="false" ht="17.25" hidden="false" customHeight="true" outlineLevel="0" collapsed="false">
      <c r="B2" s="2" t="s">
        <v>0</v>
      </c>
      <c r="C2" s="2"/>
      <c r="D2" s="2"/>
    </row>
    <row r="3" customFormat="false" ht="15" hidden="false" customHeight="true" outlineLevel="0" collapsed="false">
      <c r="B3" s="3" t="s">
        <v>1</v>
      </c>
      <c r="C3" s="3"/>
      <c r="D3" s="3"/>
    </row>
    <row r="5" customFormat="false" ht="15" hidden="false" customHeight="true" outlineLevel="0" collapsed="false">
      <c r="B5" s="4" t="s">
        <v>2</v>
      </c>
      <c r="C5" s="5"/>
      <c r="D5" s="4" t="s">
        <v>3</v>
      </c>
    </row>
    <row r="6" customFormat="false" ht="15" hidden="false" customHeight="true" outlineLevel="0" collapsed="false">
      <c r="B6" s="6" t="s">
        <v>4</v>
      </c>
      <c r="C6" s="7" t="n">
        <v>224</v>
      </c>
      <c r="D6" s="8" t="s">
        <v>5</v>
      </c>
    </row>
    <row r="7" customFormat="false" ht="15" hidden="false" customHeight="true" outlineLevel="0" collapsed="false">
      <c r="B7" s="6" t="s">
        <v>6</v>
      </c>
      <c r="C7" s="7" t="n">
        <v>80</v>
      </c>
      <c r="D7" s="8" t="s">
        <v>7</v>
      </c>
    </row>
    <row r="8" customFormat="false" ht="15" hidden="false" customHeight="true" outlineLevel="0" collapsed="false">
      <c r="B8" s="6" t="s">
        <v>8</v>
      </c>
      <c r="C8" s="7" t="n">
        <v>20</v>
      </c>
      <c r="D8" s="8" t="s">
        <v>9</v>
      </c>
    </row>
    <row r="9" customFormat="false" ht="15" hidden="false" customHeight="true" outlineLevel="0" collapsed="false">
      <c r="B9" s="6" t="s">
        <v>10</v>
      </c>
      <c r="C9" s="7" t="n">
        <v>30</v>
      </c>
      <c r="D9" s="8" t="s">
        <v>11</v>
      </c>
    </row>
    <row r="10" customFormat="false" ht="15" hidden="false" customHeight="true" outlineLevel="0" collapsed="false">
      <c r="B10" s="6" t="s">
        <v>12</v>
      </c>
      <c r="C10" s="7" t="n">
        <v>85</v>
      </c>
      <c r="D10" s="8" t="s">
        <v>13</v>
      </c>
    </row>
    <row r="11" customFormat="false" ht="15" hidden="false" customHeight="true" outlineLevel="0" collapsed="false">
      <c r="B11" s="6" t="s">
        <v>14</v>
      </c>
      <c r="C11" s="7" t="n">
        <v>60</v>
      </c>
      <c r="D11" s="8" t="s">
        <v>15</v>
      </c>
    </row>
    <row r="13" customFormat="false" ht="15" hidden="false" customHeight="true" outlineLevel="0" collapsed="false">
      <c r="B13" s="9" t="s">
        <v>16</v>
      </c>
      <c r="C13" s="10"/>
      <c r="D13" s="9" t="s">
        <v>17</v>
      </c>
    </row>
    <row r="14" customFormat="false" ht="15" hidden="false" customHeight="true" outlineLevel="0" collapsed="false">
      <c r="B14" s="6" t="s">
        <v>18</v>
      </c>
      <c r="C14" s="11" t="n">
        <f aca="false">C6/3600</f>
        <v>0.0622222222222222</v>
      </c>
      <c r="D14" s="12" t="s">
        <v>19</v>
      </c>
    </row>
    <row r="15" customFormat="false" ht="15" hidden="false" customHeight="true" outlineLevel="0" collapsed="false">
      <c r="B15" s="6" t="s">
        <v>20</v>
      </c>
      <c r="C15" s="11" t="n">
        <f aca="false">1-C9/100</f>
        <v>0.7</v>
      </c>
      <c r="D15" s="12" t="s">
        <v>21</v>
      </c>
    </row>
    <row r="16" customFormat="false" ht="15" hidden="false" customHeight="true" outlineLevel="0" collapsed="false">
      <c r="B16" s="6" t="s">
        <v>22</v>
      </c>
      <c r="C16" s="11" t="n">
        <f aca="false">C7/100</f>
        <v>0.8</v>
      </c>
      <c r="D16" s="12" t="s">
        <v>23</v>
      </c>
    </row>
    <row r="18" customFormat="false" ht="15" hidden="false" customHeight="true" outlineLevel="0" collapsed="false">
      <c r="B18" s="13" t="s">
        <v>24</v>
      </c>
      <c r="C18" s="14"/>
      <c r="D18" s="14"/>
    </row>
    <row r="19" customFormat="false" ht="21.75" hidden="false" customHeight="true" outlineLevel="0" collapsed="false">
      <c r="B19" s="15" t="s">
        <v>25</v>
      </c>
      <c r="C19" s="16" t="s">
        <v>26</v>
      </c>
      <c r="D19" s="17" t="s">
        <v>27</v>
      </c>
    </row>
    <row r="20" customFormat="false" ht="32.25" hidden="false" customHeight="true" outlineLevel="0" collapsed="false">
      <c r="B20" s="6" t="s">
        <v>28</v>
      </c>
      <c r="C20" s="18" t="s">
        <v>29</v>
      </c>
      <c r="D20" s="12" t="s">
        <v>30</v>
      </c>
    </row>
    <row r="21" customFormat="false" ht="21.75" hidden="false" customHeight="true" outlineLevel="0" collapsed="false">
      <c r="B21" s="15" t="s">
        <v>31</v>
      </c>
      <c r="C21" s="16" t="s">
        <v>32</v>
      </c>
      <c r="D21" s="17" t="s">
        <v>7</v>
      </c>
    </row>
    <row r="22" customFormat="false" ht="21.75" hidden="false" customHeight="true" outlineLevel="0" collapsed="false">
      <c r="B22" s="6" t="s">
        <v>33</v>
      </c>
      <c r="C22" s="18" t="s">
        <v>34</v>
      </c>
      <c r="D22" s="12" t="s">
        <v>35</v>
      </c>
    </row>
    <row r="23" customFormat="false" ht="15" hidden="false" customHeight="true" outlineLevel="0" collapsed="false">
      <c r="B23" s="15" t="s">
        <v>36</v>
      </c>
      <c r="C23" s="16" t="s">
        <v>37</v>
      </c>
      <c r="D23" s="17" t="s">
        <v>38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2" min="11" style="1" width="14"/>
  </cols>
  <sheetData>
    <row r="1" customFormat="false" ht="26.25" hidden="false" customHeight="true" outlineLevel="0" collapsed="false">
      <c r="A1" s="19" t="s">
        <v>39</v>
      </c>
      <c r="B1" s="19" t="s">
        <v>40</v>
      </c>
      <c r="C1" s="19" t="s">
        <v>41</v>
      </c>
      <c r="D1" s="19" t="s">
        <v>42</v>
      </c>
      <c r="E1" s="19" t="s">
        <v>43</v>
      </c>
      <c r="F1" s="19" t="s">
        <v>44</v>
      </c>
      <c r="G1" s="19" t="s">
        <v>45</v>
      </c>
      <c r="H1" s="19" t="s">
        <v>46</v>
      </c>
      <c r="I1" s="19" t="s">
        <v>47</v>
      </c>
      <c r="J1" s="19" t="s">
        <v>48</v>
      </c>
      <c r="K1" s="19" t="s">
        <v>49</v>
      </c>
      <c r="L1" s="19" t="s">
        <v>50</v>
      </c>
    </row>
    <row r="2" customFormat="false" ht="15" hidden="false" customHeight="true" outlineLevel="0" collapsed="false">
      <c r="A2" s="20" t="s">
        <v>51</v>
      </c>
      <c r="B2" s="20" t="s">
        <v>52</v>
      </c>
      <c r="C2" s="20" t="n">
        <v>6</v>
      </c>
      <c r="D2" s="21" t="n">
        <f aca="false">C2*Inputs!$C$6/3600</f>
        <v>0.373333333333333</v>
      </c>
      <c r="E2" s="7" t="n">
        <v>2</v>
      </c>
      <c r="F2" s="22" t="n">
        <f aca="false">IF(E2&lt;=D2,"Understaffed",1-POISSON(E2-1,D2,1))</f>
        <v>0.0545482833307891</v>
      </c>
      <c r="G2" s="23" t="n">
        <f aca="false">IF(E2&lt;=D2,0,(1-F2*EXP(-(E2-D2)*Inputs!$C$8/Inputs!$C$6))*100)</f>
        <v>95.282575216896</v>
      </c>
      <c r="H2" s="24" t="n">
        <f aca="false">ROUNDUP(E2/Inputs!$C$15,0)</f>
        <v>3</v>
      </c>
      <c r="I2" s="23" t="n">
        <f aca="false">IF(E2=0,0,D2/E2*100)</f>
        <v>18.6666666666667</v>
      </c>
      <c r="J2" s="25" t="str">
        <f aca="false">IF(G2&gt;=Inputs!$C$7,"GREEN",IF(G2&gt;=Inputs!$C$7-10,"AMBER","RED"))</f>
        <v>GREEN</v>
      </c>
      <c r="K2" s="20" t="n">
        <v>4.7</v>
      </c>
      <c r="L2" s="20" t="n">
        <v>7.3</v>
      </c>
    </row>
    <row r="3" customFormat="false" ht="15" hidden="false" customHeight="true" outlineLevel="0" collapsed="false">
      <c r="A3" s="26" t="s">
        <v>51</v>
      </c>
      <c r="B3" s="26" t="s">
        <v>53</v>
      </c>
      <c r="C3" s="26" t="n">
        <v>5.8</v>
      </c>
      <c r="D3" s="21" t="n">
        <f aca="false">C3*Inputs!$C$6/3600</f>
        <v>0.360888888888889</v>
      </c>
      <c r="E3" s="7" t="n">
        <v>2</v>
      </c>
      <c r="F3" s="22" t="n">
        <f aca="false">IF(E3&lt;=D3,"Understaffed",1-POISSON(E3-1,D3,1))</f>
        <v>0.0513836292339926</v>
      </c>
      <c r="G3" s="23" t="n">
        <f aca="false">IF(E3&lt;=D3,0,(1-F3*EXP(-(E3-D3)*Inputs!$C$8/Inputs!$C$6))*100)</f>
        <v>95.5611944277516</v>
      </c>
      <c r="H3" s="24" t="n">
        <f aca="false">ROUNDUP(E3/Inputs!$C$15,0)</f>
        <v>3</v>
      </c>
      <c r="I3" s="23" t="n">
        <f aca="false">IF(E3=0,0,D3/E3*100)</f>
        <v>18.0444444444444</v>
      </c>
      <c r="J3" s="25" t="str">
        <f aca="false">IF(G3&gt;=Inputs!$C$7,"GREEN",IF(G3&gt;=Inputs!$C$7-10,"AMBER","RED"))</f>
        <v>GREEN</v>
      </c>
      <c r="K3" s="26" t="n">
        <v>4.6</v>
      </c>
      <c r="L3" s="26" t="n">
        <v>7</v>
      </c>
    </row>
    <row r="4" customFormat="false" ht="15" hidden="false" customHeight="true" outlineLevel="0" collapsed="false">
      <c r="A4" s="20" t="s">
        <v>51</v>
      </c>
      <c r="B4" s="20" t="s">
        <v>54</v>
      </c>
      <c r="C4" s="20" t="n">
        <v>6.5</v>
      </c>
      <c r="D4" s="21" t="n">
        <f aca="false">C4*Inputs!$C$6/3600</f>
        <v>0.404444444444444</v>
      </c>
      <c r="E4" s="7" t="n">
        <v>2</v>
      </c>
      <c r="F4" s="22" t="n">
        <f aca="false">IF(E4&lt;=D4,"Understaffed",1-POISSON(E4-1,D4,1))</f>
        <v>0.0627475722342787</v>
      </c>
      <c r="G4" s="23" t="n">
        <f aca="false">IF(E4&lt;=D4,0,(1-F4*EXP(-(E4-D4)*Inputs!$C$8/Inputs!$C$6))*100)</f>
        <v>94.5583926971246</v>
      </c>
      <c r="H4" s="24" t="n">
        <f aca="false">ROUNDUP(E4/Inputs!$C$15,0)</f>
        <v>3</v>
      </c>
      <c r="I4" s="23" t="n">
        <f aca="false">IF(E4=0,0,D4/E4*100)</f>
        <v>20.2222222222222</v>
      </c>
      <c r="J4" s="25" t="str">
        <f aca="false">IF(G4&gt;=Inputs!$C$7,"GREEN",IF(G4&gt;=Inputs!$C$7-10,"AMBER","RED"))</f>
        <v>GREEN</v>
      </c>
      <c r="K4" s="20" t="n">
        <v>5.1</v>
      </c>
      <c r="L4" s="20" t="n">
        <v>7.8</v>
      </c>
    </row>
    <row r="5" customFormat="false" ht="15" hidden="false" customHeight="true" outlineLevel="0" collapsed="false">
      <c r="A5" s="26" t="s">
        <v>51</v>
      </c>
      <c r="B5" s="26" t="s">
        <v>55</v>
      </c>
      <c r="C5" s="26" t="n">
        <v>6</v>
      </c>
      <c r="D5" s="21" t="n">
        <f aca="false">C5*Inputs!$C$6/3600</f>
        <v>0.373333333333333</v>
      </c>
      <c r="E5" s="7" t="n">
        <v>2</v>
      </c>
      <c r="F5" s="22" t="n">
        <f aca="false">IF(E5&lt;=D5,"Understaffed",1-POISSON(E5-1,D5,1))</f>
        <v>0.0545482833307891</v>
      </c>
      <c r="G5" s="23" t="n">
        <f aca="false">IF(E5&lt;=D5,0,(1-F5*EXP(-(E5-D5)*Inputs!$C$8/Inputs!$C$6))*100)</f>
        <v>95.282575216896</v>
      </c>
      <c r="H5" s="24" t="n">
        <f aca="false">ROUNDUP(E5/Inputs!$C$15,0)</f>
        <v>3</v>
      </c>
      <c r="I5" s="23" t="n">
        <f aca="false">IF(E5=0,0,D5/E5*100)</f>
        <v>18.6666666666667</v>
      </c>
      <c r="J5" s="25" t="str">
        <f aca="false">IF(G5&gt;=Inputs!$C$7,"GREEN",IF(G5&gt;=Inputs!$C$7-10,"AMBER","RED"))</f>
        <v>GREEN</v>
      </c>
      <c r="K5" s="26" t="n">
        <v>4.7</v>
      </c>
      <c r="L5" s="26" t="n">
        <v>7.3</v>
      </c>
    </row>
    <row r="6" customFormat="false" ht="15" hidden="false" customHeight="true" outlineLevel="0" collapsed="false">
      <c r="A6" s="20" t="s">
        <v>51</v>
      </c>
      <c r="B6" s="20" t="s">
        <v>56</v>
      </c>
      <c r="C6" s="20" t="n">
        <v>6.5</v>
      </c>
      <c r="D6" s="21" t="n">
        <f aca="false">C6*Inputs!$C$6/3600</f>
        <v>0.404444444444444</v>
      </c>
      <c r="E6" s="7" t="n">
        <v>2</v>
      </c>
      <c r="F6" s="22" t="n">
        <f aca="false">IF(E6&lt;=D6,"Understaffed",1-POISSON(E6-1,D6,1))</f>
        <v>0.0627475722342787</v>
      </c>
      <c r="G6" s="23" t="n">
        <f aca="false">IF(E6&lt;=D6,0,(1-F6*EXP(-(E6-D6)*Inputs!$C$8/Inputs!$C$6))*100)</f>
        <v>94.5583926971246</v>
      </c>
      <c r="H6" s="24" t="n">
        <f aca="false">ROUNDUP(E6/Inputs!$C$15,0)</f>
        <v>3</v>
      </c>
      <c r="I6" s="23" t="n">
        <f aca="false">IF(E6=0,0,D6/E6*100)</f>
        <v>20.2222222222222</v>
      </c>
      <c r="J6" s="25" t="str">
        <f aca="false">IF(G6&gt;=Inputs!$C$7,"GREEN",IF(G6&gt;=Inputs!$C$7-10,"AMBER","RED"))</f>
        <v>GREEN</v>
      </c>
      <c r="K6" s="20" t="n">
        <v>5.1</v>
      </c>
      <c r="L6" s="20" t="n">
        <v>7.9</v>
      </c>
    </row>
    <row r="7" customFormat="false" ht="15" hidden="false" customHeight="true" outlineLevel="0" collapsed="false">
      <c r="A7" s="26" t="s">
        <v>51</v>
      </c>
      <c r="B7" s="26" t="s">
        <v>57</v>
      </c>
      <c r="C7" s="26" t="n">
        <v>5.5</v>
      </c>
      <c r="D7" s="21" t="n">
        <f aca="false">C7*Inputs!$C$6/3600</f>
        <v>0.342222222222222</v>
      </c>
      <c r="E7" s="7" t="n">
        <v>2</v>
      </c>
      <c r="F7" s="22" t="n">
        <f aca="false">IF(E7&lt;=D7,"Understaffed",1-POISSON(E7-1,D7,1))</f>
        <v>0.0467667072826541</v>
      </c>
      <c r="G7" s="23" t="n">
        <f aca="false">IF(E7&lt;=D7,0,(1-F7*EXP(-(E7-D7)*Inputs!$C$8/Inputs!$C$6))*100)</f>
        <v>95.9667576698329</v>
      </c>
      <c r="H7" s="24" t="n">
        <f aca="false">ROUNDUP(E7/Inputs!$C$15,0)</f>
        <v>3</v>
      </c>
      <c r="I7" s="23" t="n">
        <f aca="false">IF(E7=0,0,D7/E7*100)</f>
        <v>17.1111111111111</v>
      </c>
      <c r="J7" s="25" t="str">
        <f aca="false">IF(G7&gt;=Inputs!$C$7,"GREEN",IF(G7&gt;=Inputs!$C$7-10,"AMBER","RED"))</f>
        <v>GREEN</v>
      </c>
      <c r="K7" s="26" t="n">
        <v>4.3</v>
      </c>
      <c r="L7" s="26" t="n">
        <v>6.6</v>
      </c>
    </row>
    <row r="8" customFormat="false" ht="15" hidden="false" customHeight="true" outlineLevel="0" collapsed="false">
      <c r="A8" s="20" t="s">
        <v>51</v>
      </c>
      <c r="B8" s="20" t="s">
        <v>58</v>
      </c>
      <c r="C8" s="20" t="n">
        <v>5.9</v>
      </c>
      <c r="D8" s="21" t="n">
        <f aca="false">C8*Inputs!$C$6/3600</f>
        <v>0.367111111111111</v>
      </c>
      <c r="E8" s="7" t="n">
        <v>2</v>
      </c>
      <c r="F8" s="22" t="n">
        <f aca="false">IF(E8&lt;=D8,"Understaffed",1-POISSON(E8-1,D8,1))</f>
        <v>0.0529574691688954</v>
      </c>
      <c r="G8" s="23" t="n">
        <f aca="false">IF(E8&lt;=D8,0,(1-F8*EXP(-(E8-D8)*Inputs!$C$8/Inputs!$C$6))*100)</f>
        <v>95.4226950818606</v>
      </c>
      <c r="H8" s="24" t="n">
        <f aca="false">ROUNDUP(E8/Inputs!$C$15,0)</f>
        <v>3</v>
      </c>
      <c r="I8" s="23" t="n">
        <f aca="false">IF(E8=0,0,D8/E8*100)</f>
        <v>18.3555555555556</v>
      </c>
      <c r="J8" s="25" t="str">
        <f aca="false">IF(G8&gt;=Inputs!$C$7,"GREEN",IF(G8&gt;=Inputs!$C$7-10,"AMBER","RED"))</f>
        <v>GREEN</v>
      </c>
      <c r="K8" s="20" t="n">
        <v>4.6</v>
      </c>
      <c r="L8" s="20" t="n">
        <v>7.1</v>
      </c>
    </row>
    <row r="9" customFormat="false" ht="15" hidden="false" customHeight="true" outlineLevel="0" collapsed="false">
      <c r="A9" s="26" t="s">
        <v>51</v>
      </c>
      <c r="B9" s="26" t="s">
        <v>59</v>
      </c>
      <c r="C9" s="26" t="n">
        <v>6.3</v>
      </c>
      <c r="D9" s="21" t="n">
        <f aca="false">C9*Inputs!$C$6/3600</f>
        <v>0.392</v>
      </c>
      <c r="E9" s="7" t="n">
        <v>2</v>
      </c>
      <c r="F9" s="22" t="n">
        <f aca="false">IF(E9&lt;=D9,"Understaffed",1-POISSON(E9-1,D9,1))</f>
        <v>0.0594198733668085</v>
      </c>
      <c r="G9" s="23" t="n">
        <f aca="false">IF(E9&lt;=D9,0,(1-F9*EXP(-(E9-D9)*Inputs!$C$8/Inputs!$C$6))*100)</f>
        <v>94.8527004531687</v>
      </c>
      <c r="H9" s="24" t="n">
        <f aca="false">ROUNDUP(E9/Inputs!$C$15,0)</f>
        <v>3</v>
      </c>
      <c r="I9" s="23" t="n">
        <f aca="false">IF(E9=0,0,D9/E9*100)</f>
        <v>19.6</v>
      </c>
      <c r="J9" s="25" t="str">
        <f aca="false">IF(G9&gt;=Inputs!$C$7,"GREEN",IF(G9&gt;=Inputs!$C$7-10,"AMBER","RED"))</f>
        <v>GREEN</v>
      </c>
      <c r="K9" s="26" t="n">
        <v>4.9</v>
      </c>
      <c r="L9" s="26" t="n">
        <v>7.5</v>
      </c>
    </row>
    <row r="10" customFormat="false" ht="15" hidden="false" customHeight="true" outlineLevel="0" collapsed="false">
      <c r="A10" s="20" t="s">
        <v>51</v>
      </c>
      <c r="B10" s="20" t="s">
        <v>60</v>
      </c>
      <c r="C10" s="20" t="n">
        <v>6.4</v>
      </c>
      <c r="D10" s="21" t="n">
        <f aca="false">C10*Inputs!$C$6/3600</f>
        <v>0.398222222222222</v>
      </c>
      <c r="E10" s="7" t="n">
        <v>2</v>
      </c>
      <c r="F10" s="22" t="n">
        <f aca="false">IF(E10&lt;=D10,"Understaffed",1-POISSON(E10-1,D10,1))</f>
        <v>0.0610759000851505</v>
      </c>
      <c r="G10" s="23" t="n">
        <f aca="false">IF(E10&lt;=D10,0,(1-F10*EXP(-(E10-D10)*Inputs!$C$8/Inputs!$C$6))*100)</f>
        <v>94.7063055365373</v>
      </c>
      <c r="H10" s="24" t="n">
        <f aca="false">ROUNDUP(E10/Inputs!$C$15,0)</f>
        <v>3</v>
      </c>
      <c r="I10" s="23" t="n">
        <f aca="false">IF(E10=0,0,D10/E10*100)</f>
        <v>19.9111111111111</v>
      </c>
      <c r="J10" s="25" t="str">
        <f aca="false">IF(G10&gt;=Inputs!$C$7,"GREEN",IF(G10&gt;=Inputs!$C$7-10,"AMBER","RED"))</f>
        <v>GREEN</v>
      </c>
      <c r="K10" s="20" t="n">
        <v>5</v>
      </c>
      <c r="L10" s="20" t="n">
        <v>7.7</v>
      </c>
    </row>
    <row r="11" customFormat="false" ht="15" hidden="false" customHeight="true" outlineLevel="0" collapsed="false">
      <c r="A11" s="26" t="s">
        <v>61</v>
      </c>
      <c r="B11" s="26" t="s">
        <v>52</v>
      </c>
      <c r="C11" s="26" t="n">
        <v>5.2</v>
      </c>
      <c r="D11" s="21" t="n">
        <f aca="false">C11*Inputs!$C$6/3600</f>
        <v>0.323555555555556</v>
      </c>
      <c r="E11" s="7" t="n">
        <v>2</v>
      </c>
      <c r="F11" s="22" t="n">
        <f aca="false">IF(E11&lt;=D11,"Understaffed",1-POISSON(E11-1,D11,1))</f>
        <v>0.0423125793600404</v>
      </c>
      <c r="G11" s="23" t="n">
        <f aca="false">IF(E11&lt;=D11,0,(1-F11*EXP(-(E11-D11)*Inputs!$C$8/Inputs!$C$6))*100)</f>
        <v>96.3569662090607</v>
      </c>
      <c r="H11" s="24" t="n">
        <f aca="false">ROUNDUP(E11/Inputs!$C$15,0)</f>
        <v>3</v>
      </c>
      <c r="I11" s="23" t="n">
        <f aca="false">IF(E11=0,0,D11/E11*100)</f>
        <v>16.1777777777778</v>
      </c>
      <c r="J11" s="25" t="str">
        <f aca="false">IF(G11&gt;=Inputs!$C$7,"GREEN",IF(G11&gt;=Inputs!$C$7-10,"AMBER","RED"))</f>
        <v>GREEN</v>
      </c>
      <c r="K11" s="26" t="n">
        <v>4</v>
      </c>
      <c r="L11" s="26" t="n">
        <v>6.4</v>
      </c>
    </row>
    <row r="12" customFormat="false" ht="15" hidden="false" customHeight="true" outlineLevel="0" collapsed="false">
      <c r="A12" s="20" t="s">
        <v>61</v>
      </c>
      <c r="B12" s="20" t="s">
        <v>53</v>
      </c>
      <c r="C12" s="20" t="n">
        <v>5</v>
      </c>
      <c r="D12" s="21" t="n">
        <f aca="false">C12*Inputs!$C$6/3600</f>
        <v>0.311111111111111</v>
      </c>
      <c r="E12" s="7" t="n">
        <v>2</v>
      </c>
      <c r="F12" s="22" t="n">
        <f aca="false">IF(E12&lt;=D12,"Understaffed",1-POISSON(E12-1,D12,1))</f>
        <v>0.0394374311863616</v>
      </c>
      <c r="G12" s="23" t="n">
        <f aca="false">IF(E12&lt;=D12,0,(1-F12*EXP(-(E12-D12)*Inputs!$C$8/Inputs!$C$6))*100)</f>
        <v>96.6082817491731</v>
      </c>
      <c r="H12" s="24" t="n">
        <f aca="false">ROUNDUP(E12/Inputs!$C$15,0)</f>
        <v>3</v>
      </c>
      <c r="I12" s="23" t="n">
        <f aca="false">IF(E12=0,0,D12/E12*100)</f>
        <v>15.5555555555556</v>
      </c>
      <c r="J12" s="25" t="str">
        <f aca="false">IF(G12&gt;=Inputs!$C$7,"GREEN",IF(G12&gt;=Inputs!$C$7-10,"AMBER","RED"))</f>
        <v>GREEN</v>
      </c>
      <c r="K12" s="20" t="n">
        <v>3.8</v>
      </c>
      <c r="L12" s="20" t="n">
        <v>6.1</v>
      </c>
    </row>
    <row r="13" customFormat="false" ht="15" hidden="false" customHeight="true" outlineLevel="0" collapsed="false">
      <c r="A13" s="26" t="s">
        <v>61</v>
      </c>
      <c r="B13" s="26" t="s">
        <v>54</v>
      </c>
      <c r="C13" s="26" t="n">
        <v>5.5</v>
      </c>
      <c r="D13" s="21" t="n">
        <f aca="false">C13*Inputs!$C$6/3600</f>
        <v>0.342222222222222</v>
      </c>
      <c r="E13" s="7" t="n">
        <v>2</v>
      </c>
      <c r="F13" s="22" t="n">
        <f aca="false">IF(E13&lt;=D13,"Understaffed",1-POISSON(E13-1,D13,1))</f>
        <v>0.0467667072826541</v>
      </c>
      <c r="G13" s="23" t="n">
        <f aca="false">IF(E13&lt;=D13,0,(1-F13*EXP(-(E13-D13)*Inputs!$C$8/Inputs!$C$6))*100)</f>
        <v>95.9667576698329</v>
      </c>
      <c r="H13" s="24" t="n">
        <f aca="false">ROUNDUP(E13/Inputs!$C$15,0)</f>
        <v>3</v>
      </c>
      <c r="I13" s="23" t="n">
        <f aca="false">IF(E13=0,0,D13/E13*100)</f>
        <v>17.1111111111111</v>
      </c>
      <c r="J13" s="25" t="str">
        <f aca="false">IF(G13&gt;=Inputs!$C$7,"GREEN",IF(G13&gt;=Inputs!$C$7-10,"AMBER","RED"))</f>
        <v>GREEN</v>
      </c>
      <c r="K13" s="26" t="n">
        <v>4.2</v>
      </c>
      <c r="L13" s="26" t="n">
        <v>6.8</v>
      </c>
    </row>
    <row r="14" customFormat="false" ht="15" hidden="false" customHeight="true" outlineLevel="0" collapsed="false">
      <c r="A14" s="20" t="s">
        <v>61</v>
      </c>
      <c r="B14" s="20" t="s">
        <v>55</v>
      </c>
      <c r="C14" s="20" t="n">
        <v>5.2</v>
      </c>
      <c r="D14" s="21" t="n">
        <f aca="false">C14*Inputs!$C$6/3600</f>
        <v>0.323555555555556</v>
      </c>
      <c r="E14" s="7" t="n">
        <v>2</v>
      </c>
      <c r="F14" s="22" t="n">
        <f aca="false">IF(E14&lt;=D14,"Understaffed",1-POISSON(E14-1,D14,1))</f>
        <v>0.0423125793600404</v>
      </c>
      <c r="G14" s="23" t="n">
        <f aca="false">IF(E14&lt;=D14,0,(1-F14*EXP(-(E14-D14)*Inputs!$C$8/Inputs!$C$6))*100)</f>
        <v>96.3569662090607</v>
      </c>
      <c r="H14" s="24" t="n">
        <f aca="false">ROUNDUP(E14/Inputs!$C$15,0)</f>
        <v>3</v>
      </c>
      <c r="I14" s="23" t="n">
        <f aca="false">IF(E14=0,0,D14/E14*100)</f>
        <v>16.1777777777778</v>
      </c>
      <c r="J14" s="25" t="str">
        <f aca="false">IF(G14&gt;=Inputs!$C$7,"GREEN",IF(G14&gt;=Inputs!$C$7-10,"AMBER","RED"))</f>
        <v>GREEN</v>
      </c>
      <c r="K14" s="20" t="n">
        <v>4</v>
      </c>
      <c r="L14" s="20" t="n">
        <v>6.4</v>
      </c>
    </row>
    <row r="15" customFormat="false" ht="15" hidden="false" customHeight="true" outlineLevel="0" collapsed="false">
      <c r="A15" s="26" t="s">
        <v>61</v>
      </c>
      <c r="B15" s="26" t="s">
        <v>56</v>
      </c>
      <c r="C15" s="26" t="n">
        <v>5.6</v>
      </c>
      <c r="D15" s="21" t="n">
        <f aca="false">C15*Inputs!$C$6/3600</f>
        <v>0.348444444444444</v>
      </c>
      <c r="E15" s="7" t="n">
        <v>2</v>
      </c>
      <c r="F15" s="22" t="n">
        <f aca="false">IF(E15&lt;=D15,"Understaffed",1-POISSON(E15-1,D15,1))</f>
        <v>0.048287970274747</v>
      </c>
      <c r="G15" s="23" t="n">
        <f aca="false">IF(E15&lt;=D15,0,(1-F15*EXP(-(E15-D15)*Inputs!$C$8/Inputs!$C$6))*100)</f>
        <v>95.8332470786567</v>
      </c>
      <c r="H15" s="24" t="n">
        <f aca="false">ROUNDUP(E15/Inputs!$C$15,0)</f>
        <v>3</v>
      </c>
      <c r="I15" s="23" t="n">
        <f aca="false">IF(E15=0,0,D15/E15*100)</f>
        <v>17.4222222222222</v>
      </c>
      <c r="J15" s="25" t="str">
        <f aca="false">IF(G15&gt;=Inputs!$C$7,"GREEN",IF(G15&gt;=Inputs!$C$7-10,"AMBER","RED"))</f>
        <v>GREEN</v>
      </c>
      <c r="K15" s="26" t="n">
        <v>4.3</v>
      </c>
      <c r="L15" s="26" t="n">
        <v>6.9</v>
      </c>
    </row>
    <row r="16" customFormat="false" ht="15" hidden="false" customHeight="true" outlineLevel="0" collapsed="false">
      <c r="A16" s="20" t="s">
        <v>61</v>
      </c>
      <c r="B16" s="20" t="s">
        <v>57</v>
      </c>
      <c r="C16" s="20" t="n">
        <v>4.7</v>
      </c>
      <c r="D16" s="21" t="n">
        <f aca="false">C16*Inputs!$C$6/3600</f>
        <v>0.292444444444444</v>
      </c>
      <c r="E16" s="7" t="n">
        <v>2</v>
      </c>
      <c r="F16" s="22" t="n">
        <f aca="false">IF(E16&lt;=D16,"Understaffed",1-POISSON(E16-1,D16,1))</f>
        <v>0.0352720176833574</v>
      </c>
      <c r="G16" s="23" t="n">
        <f aca="false">IF(E16&lt;=D16,0,(1-F16*EXP(-(E16-D16)*Inputs!$C$8/Inputs!$C$6))*100)</f>
        <v>96.9715693775827</v>
      </c>
      <c r="H16" s="24" t="n">
        <f aca="false">ROUNDUP(E16/Inputs!$C$15,0)</f>
        <v>3</v>
      </c>
      <c r="I16" s="23" t="n">
        <f aca="false">IF(E16=0,0,D16/E16*100)</f>
        <v>14.6222222222222</v>
      </c>
      <c r="J16" s="25" t="str">
        <f aca="false">IF(G16&gt;=Inputs!$C$7,"GREEN",IF(G16&gt;=Inputs!$C$7-10,"AMBER","RED"))</f>
        <v>GREEN</v>
      </c>
      <c r="K16" s="20" t="n">
        <v>3.6</v>
      </c>
      <c r="L16" s="20" t="n">
        <v>5.8</v>
      </c>
    </row>
    <row r="17" customFormat="false" ht="15" hidden="false" customHeight="true" outlineLevel="0" collapsed="false">
      <c r="A17" s="26" t="s">
        <v>61</v>
      </c>
      <c r="B17" s="26" t="s">
        <v>58</v>
      </c>
      <c r="C17" s="26" t="n">
        <v>5</v>
      </c>
      <c r="D17" s="21" t="n">
        <f aca="false">C17*Inputs!$C$6/3600</f>
        <v>0.311111111111111</v>
      </c>
      <c r="E17" s="7" t="n">
        <v>2</v>
      </c>
      <c r="F17" s="22" t="n">
        <f aca="false">IF(E17&lt;=D17,"Understaffed",1-POISSON(E17-1,D17,1))</f>
        <v>0.0394374311863616</v>
      </c>
      <c r="G17" s="23" t="n">
        <f aca="false">IF(E17&lt;=D17,0,(1-F17*EXP(-(E17-D17)*Inputs!$C$8/Inputs!$C$6))*100)</f>
        <v>96.6082817491731</v>
      </c>
      <c r="H17" s="24" t="n">
        <f aca="false">ROUNDUP(E17/Inputs!$C$15,0)</f>
        <v>3</v>
      </c>
      <c r="I17" s="23" t="n">
        <f aca="false">IF(E17=0,0,D17/E17*100)</f>
        <v>15.5555555555556</v>
      </c>
      <c r="J17" s="25" t="str">
        <f aca="false">IF(G17&gt;=Inputs!$C$7,"GREEN",IF(G17&gt;=Inputs!$C$7-10,"AMBER","RED"))</f>
        <v>GREEN</v>
      </c>
      <c r="K17" s="26" t="n">
        <v>3.9</v>
      </c>
      <c r="L17" s="26" t="n">
        <v>6.2</v>
      </c>
    </row>
    <row r="18" customFormat="false" ht="15" hidden="false" customHeight="true" outlineLevel="0" collapsed="false">
      <c r="A18" s="20" t="s">
        <v>61</v>
      </c>
      <c r="B18" s="20" t="s">
        <v>59</v>
      </c>
      <c r="C18" s="20" t="n">
        <v>5.4</v>
      </c>
      <c r="D18" s="21" t="n">
        <f aca="false">C18*Inputs!$C$6/3600</f>
        <v>0.336</v>
      </c>
      <c r="E18" s="7" t="n">
        <v>2</v>
      </c>
      <c r="F18" s="22" t="n">
        <f aca="false">IF(E18&lt;=D18,"Understaffed",1-POISSON(E18-1,D18,1))</f>
        <v>0.0452635306297475</v>
      </c>
      <c r="G18" s="23" t="n">
        <f aca="false">IF(E18&lt;=D18,0,(1-F18*EXP(-(E18-D18)*Inputs!$C$8/Inputs!$C$6))*100)</f>
        <v>96.0985623113331</v>
      </c>
      <c r="H18" s="24" t="n">
        <f aca="false">ROUNDUP(E18/Inputs!$C$15,0)</f>
        <v>3</v>
      </c>
      <c r="I18" s="23" t="n">
        <f aca="false">IF(E18=0,0,D18/E18*100)</f>
        <v>16.8</v>
      </c>
      <c r="J18" s="25" t="str">
        <f aca="false">IF(G18&gt;=Inputs!$C$7,"GREEN",IF(G18&gt;=Inputs!$C$7-10,"AMBER","RED"))</f>
        <v>GREEN</v>
      </c>
      <c r="K18" s="20" t="n">
        <v>4.1</v>
      </c>
      <c r="L18" s="20" t="n">
        <v>6.6</v>
      </c>
    </row>
    <row r="19" customFormat="false" ht="15" hidden="false" customHeight="true" outlineLevel="0" collapsed="false">
      <c r="A19" s="26" t="s">
        <v>61</v>
      </c>
      <c r="B19" s="26" t="s">
        <v>60</v>
      </c>
      <c r="C19" s="26" t="n">
        <v>5.5</v>
      </c>
      <c r="D19" s="21" t="n">
        <f aca="false">C19*Inputs!$C$6/3600</f>
        <v>0.342222222222222</v>
      </c>
      <c r="E19" s="7" t="n">
        <v>2</v>
      </c>
      <c r="F19" s="22" t="n">
        <f aca="false">IF(E19&lt;=D19,"Understaffed",1-POISSON(E19-1,D19,1))</f>
        <v>0.0467667072826541</v>
      </c>
      <c r="G19" s="23" t="n">
        <f aca="false">IF(E19&lt;=D19,0,(1-F19*EXP(-(E19-D19)*Inputs!$C$8/Inputs!$C$6))*100)</f>
        <v>95.9667576698329</v>
      </c>
      <c r="H19" s="24" t="n">
        <f aca="false">ROUNDUP(E19/Inputs!$C$15,0)</f>
        <v>3</v>
      </c>
      <c r="I19" s="23" t="n">
        <f aca="false">IF(E19=0,0,D19/E19*100)</f>
        <v>17.1111111111111</v>
      </c>
      <c r="J19" s="25" t="str">
        <f aca="false">IF(G19&gt;=Inputs!$C$7,"GREEN",IF(G19&gt;=Inputs!$C$7-10,"AMBER","RED"))</f>
        <v>GREEN</v>
      </c>
      <c r="K19" s="26" t="n">
        <v>4.2</v>
      </c>
      <c r="L19" s="26" t="n">
        <v>6.8</v>
      </c>
    </row>
    <row r="20" customFormat="false" ht="15" hidden="false" customHeight="true" outlineLevel="0" collapsed="false">
      <c r="A20" s="20" t="s">
        <v>62</v>
      </c>
      <c r="B20" s="20" t="s">
        <v>52</v>
      </c>
      <c r="C20" s="20" t="n">
        <v>5.9</v>
      </c>
      <c r="D20" s="21" t="n">
        <f aca="false">C20*Inputs!$C$6/3600</f>
        <v>0.367111111111111</v>
      </c>
      <c r="E20" s="7" t="n">
        <v>2</v>
      </c>
      <c r="F20" s="22" t="n">
        <f aca="false">IF(E20&lt;=D20,"Understaffed",1-POISSON(E20-1,D20,1))</f>
        <v>0.0529574691688954</v>
      </c>
      <c r="G20" s="23" t="n">
        <f aca="false">IF(E20&lt;=D20,0,(1-F20*EXP(-(E20-D20)*Inputs!$C$8/Inputs!$C$6))*100)</f>
        <v>95.4226950818606</v>
      </c>
      <c r="H20" s="24" t="n">
        <f aca="false">ROUNDUP(E20/Inputs!$C$15,0)</f>
        <v>3</v>
      </c>
      <c r="I20" s="23" t="n">
        <f aca="false">IF(E20=0,0,D20/E20*100)</f>
        <v>18.3555555555556</v>
      </c>
      <c r="J20" s="25" t="str">
        <f aca="false">IF(G20&gt;=Inputs!$C$7,"GREEN",IF(G20&gt;=Inputs!$C$7-10,"AMBER","RED"))</f>
        <v>GREEN</v>
      </c>
      <c r="K20" s="20" t="n">
        <v>4.6</v>
      </c>
      <c r="L20" s="20" t="n">
        <v>7.3</v>
      </c>
    </row>
    <row r="21" customFormat="false" ht="15" hidden="false" customHeight="true" outlineLevel="0" collapsed="false">
      <c r="A21" s="26" t="s">
        <v>62</v>
      </c>
      <c r="B21" s="26" t="s">
        <v>53</v>
      </c>
      <c r="C21" s="26" t="n">
        <v>5.7</v>
      </c>
      <c r="D21" s="21" t="n">
        <f aca="false">C21*Inputs!$C$6/3600</f>
        <v>0.354666666666667</v>
      </c>
      <c r="E21" s="7" t="n">
        <v>2</v>
      </c>
      <c r="F21" s="22" t="n">
        <f aca="false">IF(E21&lt;=D21,"Understaffed",1-POISSON(E21-1,D21,1))</f>
        <v>0.0498270373941074</v>
      </c>
      <c r="G21" s="23" t="n">
        <f aca="false">IF(E21&lt;=D21,0,(1-F21*EXP(-(E21-D21)*Inputs!$C$8/Inputs!$C$6))*100)</f>
        <v>95.6980521807102</v>
      </c>
      <c r="H21" s="24" t="n">
        <f aca="false">ROUNDUP(E21/Inputs!$C$15,0)</f>
        <v>3</v>
      </c>
      <c r="I21" s="23" t="n">
        <f aca="false">IF(E21=0,0,D21/E21*100)</f>
        <v>17.7333333333333</v>
      </c>
      <c r="J21" s="25" t="str">
        <f aca="false">IF(G21&gt;=Inputs!$C$7,"GREEN",IF(G21&gt;=Inputs!$C$7-10,"AMBER","RED"))</f>
        <v>GREEN</v>
      </c>
      <c r="K21" s="26" t="n">
        <v>4.5</v>
      </c>
      <c r="L21" s="26" t="n">
        <v>7</v>
      </c>
    </row>
    <row r="22" customFormat="false" ht="15" hidden="false" customHeight="true" outlineLevel="0" collapsed="false">
      <c r="A22" s="20" t="s">
        <v>62</v>
      </c>
      <c r="B22" s="20" t="s">
        <v>54</v>
      </c>
      <c r="C22" s="20" t="n">
        <v>6.4</v>
      </c>
      <c r="D22" s="21" t="n">
        <f aca="false">C22*Inputs!$C$6/3600</f>
        <v>0.398222222222222</v>
      </c>
      <c r="E22" s="7" t="n">
        <v>2</v>
      </c>
      <c r="F22" s="22" t="n">
        <f aca="false">IF(E22&lt;=D22,"Understaffed",1-POISSON(E22-1,D22,1))</f>
        <v>0.0610759000851505</v>
      </c>
      <c r="G22" s="23" t="n">
        <f aca="false">IF(E22&lt;=D22,0,(1-F22*EXP(-(E22-D22)*Inputs!$C$8/Inputs!$C$6))*100)</f>
        <v>94.7063055365373</v>
      </c>
      <c r="H22" s="24" t="n">
        <f aca="false">ROUNDUP(E22/Inputs!$C$15,0)</f>
        <v>3</v>
      </c>
      <c r="I22" s="23" t="n">
        <f aca="false">IF(E22=0,0,D22/E22*100)</f>
        <v>19.9111111111111</v>
      </c>
      <c r="J22" s="25" t="str">
        <f aca="false">IF(G22&gt;=Inputs!$C$7,"GREEN",IF(G22&gt;=Inputs!$C$7-10,"AMBER","RED"))</f>
        <v>GREEN</v>
      </c>
      <c r="K22" s="20" t="n">
        <v>5</v>
      </c>
      <c r="L22" s="20" t="n">
        <v>7.8</v>
      </c>
    </row>
    <row r="23" customFormat="false" ht="15" hidden="false" customHeight="true" outlineLevel="0" collapsed="false">
      <c r="A23" s="26" t="s">
        <v>62</v>
      </c>
      <c r="B23" s="26" t="s">
        <v>55</v>
      </c>
      <c r="C23" s="26" t="n">
        <v>5.9</v>
      </c>
      <c r="D23" s="21" t="n">
        <f aca="false">C23*Inputs!$C$6/3600</f>
        <v>0.367111111111111</v>
      </c>
      <c r="E23" s="7" t="n">
        <v>2</v>
      </c>
      <c r="F23" s="22" t="n">
        <f aca="false">IF(E23&lt;=D23,"Understaffed",1-POISSON(E23-1,D23,1))</f>
        <v>0.0529574691688954</v>
      </c>
      <c r="G23" s="23" t="n">
        <f aca="false">IF(E23&lt;=D23,0,(1-F23*EXP(-(E23-D23)*Inputs!$C$8/Inputs!$C$6))*100)</f>
        <v>95.4226950818606</v>
      </c>
      <c r="H23" s="24" t="n">
        <f aca="false">ROUNDUP(E23/Inputs!$C$15,0)</f>
        <v>3</v>
      </c>
      <c r="I23" s="23" t="n">
        <f aca="false">IF(E23=0,0,D23/E23*100)</f>
        <v>18.3555555555556</v>
      </c>
      <c r="J23" s="25" t="str">
        <f aca="false">IF(G23&gt;=Inputs!$C$7,"GREEN",IF(G23&gt;=Inputs!$C$7-10,"AMBER","RED"))</f>
        <v>GREEN</v>
      </c>
      <c r="K23" s="26" t="n">
        <v>4.6</v>
      </c>
      <c r="L23" s="26" t="n">
        <v>7.3</v>
      </c>
    </row>
    <row r="24" customFormat="false" ht="15" hidden="false" customHeight="true" outlineLevel="0" collapsed="false">
      <c r="A24" s="20" t="s">
        <v>62</v>
      </c>
      <c r="B24" s="20" t="s">
        <v>56</v>
      </c>
      <c r="C24" s="20" t="n">
        <v>6.4</v>
      </c>
      <c r="D24" s="21" t="n">
        <f aca="false">C24*Inputs!$C$6/3600</f>
        <v>0.398222222222222</v>
      </c>
      <c r="E24" s="7" t="n">
        <v>2</v>
      </c>
      <c r="F24" s="22" t="n">
        <f aca="false">IF(E24&lt;=D24,"Understaffed",1-POISSON(E24-1,D24,1))</f>
        <v>0.0610759000851505</v>
      </c>
      <c r="G24" s="23" t="n">
        <f aca="false">IF(E24&lt;=D24,0,(1-F24*EXP(-(E24-D24)*Inputs!$C$8/Inputs!$C$6))*100)</f>
        <v>94.7063055365373</v>
      </c>
      <c r="H24" s="24" t="n">
        <f aca="false">ROUNDUP(E24/Inputs!$C$15,0)</f>
        <v>3</v>
      </c>
      <c r="I24" s="23" t="n">
        <f aca="false">IF(E24=0,0,D24/E24*100)</f>
        <v>19.9111111111111</v>
      </c>
      <c r="J24" s="25" t="str">
        <f aca="false">IF(G24&gt;=Inputs!$C$7,"GREEN",IF(G24&gt;=Inputs!$C$7-10,"AMBER","RED"))</f>
        <v>GREEN</v>
      </c>
      <c r="K24" s="20" t="n">
        <v>5</v>
      </c>
      <c r="L24" s="20" t="n">
        <v>7.9</v>
      </c>
    </row>
    <row r="25" customFormat="false" ht="15" hidden="false" customHeight="true" outlineLevel="0" collapsed="false">
      <c r="A25" s="26" t="s">
        <v>62</v>
      </c>
      <c r="B25" s="26" t="s">
        <v>57</v>
      </c>
      <c r="C25" s="26" t="n">
        <v>5.4</v>
      </c>
      <c r="D25" s="21" t="n">
        <f aca="false">C25*Inputs!$C$6/3600</f>
        <v>0.336</v>
      </c>
      <c r="E25" s="7" t="n">
        <v>2</v>
      </c>
      <c r="F25" s="22" t="n">
        <f aca="false">IF(E25&lt;=D25,"Understaffed",1-POISSON(E25-1,D25,1))</f>
        <v>0.0452635306297475</v>
      </c>
      <c r="G25" s="23" t="n">
        <f aca="false">IF(E25&lt;=D25,0,(1-F25*EXP(-(E25-D25)*Inputs!$C$8/Inputs!$C$6))*100)</f>
        <v>96.0985623113331</v>
      </c>
      <c r="H25" s="24" t="n">
        <f aca="false">ROUNDUP(E25/Inputs!$C$15,0)</f>
        <v>3</v>
      </c>
      <c r="I25" s="23" t="n">
        <f aca="false">IF(E25=0,0,D25/E25*100)</f>
        <v>16.8</v>
      </c>
      <c r="J25" s="25" t="str">
        <f aca="false">IF(G25&gt;=Inputs!$C$7,"GREEN",IF(G25&gt;=Inputs!$C$7-10,"AMBER","RED"))</f>
        <v>GREEN</v>
      </c>
      <c r="K25" s="26" t="n">
        <v>4.2</v>
      </c>
      <c r="L25" s="26" t="n">
        <v>6.6</v>
      </c>
    </row>
    <row r="26" customFormat="false" ht="15" hidden="false" customHeight="true" outlineLevel="0" collapsed="false">
      <c r="A26" s="20" t="s">
        <v>62</v>
      </c>
      <c r="B26" s="20" t="s">
        <v>58</v>
      </c>
      <c r="C26" s="20" t="n">
        <v>5.8</v>
      </c>
      <c r="D26" s="21" t="n">
        <f aca="false">C26*Inputs!$C$6/3600</f>
        <v>0.360888888888889</v>
      </c>
      <c r="E26" s="7" t="n">
        <v>2</v>
      </c>
      <c r="F26" s="22" t="n">
        <f aca="false">IF(E26&lt;=D26,"Understaffed",1-POISSON(E26-1,D26,1))</f>
        <v>0.0513836292339926</v>
      </c>
      <c r="G26" s="23" t="n">
        <f aca="false">IF(E26&lt;=D26,0,(1-F26*EXP(-(E26-D26)*Inputs!$C$8/Inputs!$C$6))*100)</f>
        <v>95.5611944277516</v>
      </c>
      <c r="H26" s="24" t="n">
        <f aca="false">ROUNDUP(E26/Inputs!$C$15,0)</f>
        <v>3</v>
      </c>
      <c r="I26" s="23" t="n">
        <f aca="false">IF(E26=0,0,D26/E26*100)</f>
        <v>18.0444444444444</v>
      </c>
      <c r="J26" s="25" t="str">
        <f aca="false">IF(G26&gt;=Inputs!$C$7,"GREEN",IF(G26&gt;=Inputs!$C$7-10,"AMBER","RED"))</f>
        <v>GREEN</v>
      </c>
      <c r="K26" s="20" t="n">
        <v>4.5</v>
      </c>
      <c r="L26" s="20" t="n">
        <v>7.1</v>
      </c>
    </row>
    <row r="27" customFormat="false" ht="15" hidden="false" customHeight="true" outlineLevel="0" collapsed="false">
      <c r="A27" s="26" t="s">
        <v>62</v>
      </c>
      <c r="B27" s="26" t="s">
        <v>59</v>
      </c>
      <c r="C27" s="26" t="n">
        <v>6.2</v>
      </c>
      <c r="D27" s="21" t="n">
        <f aca="false">C27*Inputs!$C$6/3600</f>
        <v>0.385777777777778</v>
      </c>
      <c r="E27" s="7" t="n">
        <v>2</v>
      </c>
      <c r="F27" s="22" t="n">
        <f aca="false">IF(E27&lt;=D27,"Understaffed",1-POISSON(E27-1,D27,1))</f>
        <v>0.0577797525096471</v>
      </c>
      <c r="G27" s="23" t="n">
        <f aca="false">IF(E27&lt;=D27,0,(1-F27*EXP(-(E27-D27)*Inputs!$C$8/Inputs!$C$6))*100)</f>
        <v>94.9975572927541</v>
      </c>
      <c r="H27" s="24" t="n">
        <f aca="false">ROUNDUP(E27/Inputs!$C$15,0)</f>
        <v>3</v>
      </c>
      <c r="I27" s="23" t="n">
        <f aca="false">IF(E27=0,0,D27/E27*100)</f>
        <v>19.2888888888889</v>
      </c>
      <c r="J27" s="25" t="str">
        <f aca="false">IF(G27&gt;=Inputs!$C$7,"GREEN",IF(G27&gt;=Inputs!$C$7-10,"AMBER","RED"))</f>
        <v>GREEN</v>
      </c>
      <c r="K27" s="26" t="n">
        <v>4.8</v>
      </c>
      <c r="L27" s="26" t="n">
        <v>7.5</v>
      </c>
    </row>
    <row r="28" customFormat="false" ht="15" hidden="false" customHeight="true" outlineLevel="0" collapsed="false">
      <c r="A28" s="20" t="s">
        <v>62</v>
      </c>
      <c r="B28" s="20" t="s">
        <v>60</v>
      </c>
      <c r="C28" s="20" t="n">
        <v>6.3</v>
      </c>
      <c r="D28" s="21" t="n">
        <f aca="false">C28*Inputs!$C$6/3600</f>
        <v>0.392</v>
      </c>
      <c r="E28" s="7" t="n">
        <v>2</v>
      </c>
      <c r="F28" s="22" t="n">
        <f aca="false">IF(E28&lt;=D28,"Understaffed",1-POISSON(E28-1,D28,1))</f>
        <v>0.0594198733668085</v>
      </c>
      <c r="G28" s="23" t="n">
        <f aca="false">IF(E28&lt;=D28,0,(1-F28*EXP(-(E28-D28)*Inputs!$C$8/Inputs!$C$6))*100)</f>
        <v>94.8527004531687</v>
      </c>
      <c r="H28" s="24" t="n">
        <f aca="false">ROUNDUP(E28/Inputs!$C$15,0)</f>
        <v>3</v>
      </c>
      <c r="I28" s="23" t="n">
        <f aca="false">IF(E28=0,0,D28/E28*100)</f>
        <v>19.6</v>
      </c>
      <c r="J28" s="25" t="str">
        <f aca="false">IF(G28&gt;=Inputs!$C$7,"GREEN",IF(G28&gt;=Inputs!$C$7-10,"AMBER","RED"))</f>
        <v>GREEN</v>
      </c>
      <c r="K28" s="20" t="n">
        <v>4.9</v>
      </c>
      <c r="L28" s="20" t="n">
        <v>7.7</v>
      </c>
    </row>
    <row r="29" customFormat="false" ht="15" hidden="false" customHeight="true" outlineLevel="0" collapsed="false">
      <c r="A29" s="26" t="s">
        <v>63</v>
      </c>
      <c r="B29" s="26" t="s">
        <v>52</v>
      </c>
      <c r="C29" s="26" t="n">
        <v>5.5</v>
      </c>
      <c r="D29" s="21" t="n">
        <f aca="false">C29*Inputs!$C$6/3600</f>
        <v>0.342222222222222</v>
      </c>
      <c r="E29" s="7" t="n">
        <v>2</v>
      </c>
      <c r="F29" s="22" t="n">
        <f aca="false">IF(E29&lt;=D29,"Understaffed",1-POISSON(E29-1,D29,1))</f>
        <v>0.0467667072826541</v>
      </c>
      <c r="G29" s="23" t="n">
        <f aca="false">IF(E29&lt;=D29,0,(1-F29*EXP(-(E29-D29)*Inputs!$C$8/Inputs!$C$6))*100)</f>
        <v>95.9667576698329</v>
      </c>
      <c r="H29" s="24" t="n">
        <f aca="false">ROUNDUP(E29/Inputs!$C$15,0)</f>
        <v>3</v>
      </c>
      <c r="I29" s="23" t="n">
        <f aca="false">IF(E29=0,0,D29/E29*100)</f>
        <v>17.1111111111111</v>
      </c>
      <c r="J29" s="25" t="str">
        <f aca="false">IF(G29&gt;=Inputs!$C$7,"GREEN",IF(G29&gt;=Inputs!$C$7-10,"AMBER","RED"))</f>
        <v>GREEN</v>
      </c>
      <c r="K29" s="26" t="n">
        <v>4.2</v>
      </c>
      <c r="L29" s="26" t="n">
        <v>6.7</v>
      </c>
    </row>
    <row r="30" customFormat="false" ht="15" hidden="false" customHeight="true" outlineLevel="0" collapsed="false">
      <c r="A30" s="20" t="s">
        <v>63</v>
      </c>
      <c r="B30" s="20" t="s">
        <v>53</v>
      </c>
      <c r="C30" s="20" t="n">
        <v>5.3</v>
      </c>
      <c r="D30" s="21" t="n">
        <f aca="false">C30*Inputs!$C$6/3600</f>
        <v>0.329777777777778</v>
      </c>
      <c r="E30" s="7" t="n">
        <v>2</v>
      </c>
      <c r="F30" s="22" t="n">
        <f aca="false">IF(E30&lt;=D30,"Understaffed",1-POISSON(E30-1,D30,1))</f>
        <v>0.0437787253572556</v>
      </c>
      <c r="G30" s="23" t="n">
        <f aca="false">IF(E30&lt;=D30,0,(1-F30*EXP(-(E30-D30)*Inputs!$C$8/Inputs!$C$6))*100)</f>
        <v>96.2286391676252</v>
      </c>
      <c r="H30" s="24" t="n">
        <f aca="false">ROUNDUP(E30/Inputs!$C$15,0)</f>
        <v>3</v>
      </c>
      <c r="I30" s="23" t="n">
        <f aca="false">IF(E30=0,0,D30/E30*100)</f>
        <v>16.4888888888889</v>
      </c>
      <c r="J30" s="25" t="str">
        <f aca="false">IF(G30&gt;=Inputs!$C$7,"GREEN",IF(G30&gt;=Inputs!$C$7-10,"AMBER","RED"))</f>
        <v>GREEN</v>
      </c>
      <c r="K30" s="20" t="n">
        <v>4</v>
      </c>
      <c r="L30" s="20" t="n">
        <v>6.5</v>
      </c>
    </row>
    <row r="31" customFormat="false" ht="15" hidden="false" customHeight="true" outlineLevel="0" collapsed="false">
      <c r="A31" s="26" t="s">
        <v>63</v>
      </c>
      <c r="B31" s="26" t="s">
        <v>54</v>
      </c>
      <c r="C31" s="26" t="n">
        <v>5.9</v>
      </c>
      <c r="D31" s="21" t="n">
        <f aca="false">C31*Inputs!$C$6/3600</f>
        <v>0.367111111111111</v>
      </c>
      <c r="E31" s="7" t="n">
        <v>2</v>
      </c>
      <c r="F31" s="22" t="n">
        <f aca="false">IF(E31&lt;=D31,"Understaffed",1-POISSON(E31-1,D31,1))</f>
        <v>0.0529574691688954</v>
      </c>
      <c r="G31" s="23" t="n">
        <f aca="false">IF(E31&lt;=D31,0,(1-F31*EXP(-(E31-D31)*Inputs!$C$8/Inputs!$C$6))*100)</f>
        <v>95.4226950818606</v>
      </c>
      <c r="H31" s="24" t="n">
        <f aca="false">ROUNDUP(E31/Inputs!$C$15,0)</f>
        <v>3</v>
      </c>
      <c r="I31" s="23" t="n">
        <f aca="false">IF(E31=0,0,D31/E31*100)</f>
        <v>18.3555555555556</v>
      </c>
      <c r="J31" s="25" t="str">
        <f aca="false">IF(G31&gt;=Inputs!$C$7,"GREEN",IF(G31&gt;=Inputs!$C$7-10,"AMBER","RED"))</f>
        <v>GREEN</v>
      </c>
      <c r="K31" s="26" t="n">
        <v>4.5</v>
      </c>
      <c r="L31" s="26" t="n">
        <v>7.2</v>
      </c>
    </row>
    <row r="32" customFormat="false" ht="15" hidden="false" customHeight="true" outlineLevel="0" collapsed="false">
      <c r="A32" s="20" t="s">
        <v>63</v>
      </c>
      <c r="B32" s="20" t="s">
        <v>55</v>
      </c>
      <c r="C32" s="20" t="n">
        <v>5.5</v>
      </c>
      <c r="D32" s="21" t="n">
        <f aca="false">C32*Inputs!$C$6/3600</f>
        <v>0.342222222222222</v>
      </c>
      <c r="E32" s="7" t="n">
        <v>2</v>
      </c>
      <c r="F32" s="22" t="n">
        <f aca="false">IF(E32&lt;=D32,"Understaffed",1-POISSON(E32-1,D32,1))</f>
        <v>0.0467667072826541</v>
      </c>
      <c r="G32" s="23" t="n">
        <f aca="false">IF(E32&lt;=D32,0,(1-F32*EXP(-(E32-D32)*Inputs!$C$8/Inputs!$C$6))*100)</f>
        <v>95.9667576698329</v>
      </c>
      <c r="H32" s="24" t="n">
        <f aca="false">ROUNDUP(E32/Inputs!$C$15,0)</f>
        <v>3</v>
      </c>
      <c r="I32" s="23" t="n">
        <f aca="false">IF(E32=0,0,D32/E32*100)</f>
        <v>17.1111111111111</v>
      </c>
      <c r="J32" s="25" t="str">
        <f aca="false">IF(G32&gt;=Inputs!$C$7,"GREEN",IF(G32&gt;=Inputs!$C$7-10,"AMBER","RED"))</f>
        <v>GREEN</v>
      </c>
      <c r="K32" s="20" t="n">
        <v>4.2</v>
      </c>
      <c r="L32" s="20" t="n">
        <v>6.7</v>
      </c>
    </row>
    <row r="33" customFormat="false" ht="15" hidden="false" customHeight="true" outlineLevel="0" collapsed="false">
      <c r="A33" s="26" t="s">
        <v>63</v>
      </c>
      <c r="B33" s="26" t="s">
        <v>56</v>
      </c>
      <c r="C33" s="26" t="n">
        <v>5.9</v>
      </c>
      <c r="D33" s="21" t="n">
        <f aca="false">C33*Inputs!$C$6/3600</f>
        <v>0.367111111111111</v>
      </c>
      <c r="E33" s="7" t="n">
        <v>2</v>
      </c>
      <c r="F33" s="22" t="n">
        <f aca="false">IF(E33&lt;=D33,"Understaffed",1-POISSON(E33-1,D33,1))</f>
        <v>0.0529574691688954</v>
      </c>
      <c r="G33" s="23" t="n">
        <f aca="false">IF(E33&lt;=D33,0,(1-F33*EXP(-(E33-D33)*Inputs!$C$8/Inputs!$C$6))*100)</f>
        <v>95.4226950818606</v>
      </c>
      <c r="H33" s="24" t="n">
        <f aca="false">ROUNDUP(E33/Inputs!$C$15,0)</f>
        <v>3</v>
      </c>
      <c r="I33" s="23" t="n">
        <f aca="false">IF(E33=0,0,D33/E33*100)</f>
        <v>18.3555555555556</v>
      </c>
      <c r="J33" s="25" t="str">
        <f aca="false">IF(G33&gt;=Inputs!$C$7,"GREEN",IF(G33&gt;=Inputs!$C$7-10,"AMBER","RED"))</f>
        <v>GREEN</v>
      </c>
      <c r="K33" s="26" t="n">
        <v>4.5</v>
      </c>
      <c r="L33" s="26" t="n">
        <v>7.3</v>
      </c>
    </row>
    <row r="34" customFormat="false" ht="15" hidden="false" customHeight="true" outlineLevel="0" collapsed="false">
      <c r="A34" s="20" t="s">
        <v>63</v>
      </c>
      <c r="B34" s="20" t="s">
        <v>57</v>
      </c>
      <c r="C34" s="20" t="n">
        <v>5</v>
      </c>
      <c r="D34" s="21" t="n">
        <f aca="false">C34*Inputs!$C$6/3600</f>
        <v>0.311111111111111</v>
      </c>
      <c r="E34" s="7" t="n">
        <v>2</v>
      </c>
      <c r="F34" s="22" t="n">
        <f aca="false">IF(E34&lt;=D34,"Understaffed",1-POISSON(E34-1,D34,1))</f>
        <v>0.0394374311863616</v>
      </c>
      <c r="G34" s="23" t="n">
        <f aca="false">IF(E34&lt;=D34,0,(1-F34*EXP(-(E34-D34)*Inputs!$C$8/Inputs!$C$6))*100)</f>
        <v>96.6082817491731</v>
      </c>
      <c r="H34" s="24" t="n">
        <f aca="false">ROUNDUP(E34/Inputs!$C$15,0)</f>
        <v>3</v>
      </c>
      <c r="I34" s="23" t="n">
        <f aca="false">IF(E34=0,0,D34/E34*100)</f>
        <v>15.5555555555556</v>
      </c>
      <c r="J34" s="25" t="str">
        <f aca="false">IF(G34&gt;=Inputs!$C$7,"GREEN",IF(G34&gt;=Inputs!$C$7-10,"AMBER","RED"))</f>
        <v>GREEN</v>
      </c>
      <c r="K34" s="20" t="n">
        <v>3.8</v>
      </c>
      <c r="L34" s="20" t="n">
        <v>6.1</v>
      </c>
    </row>
    <row r="35" customFormat="false" ht="15" hidden="false" customHeight="true" outlineLevel="0" collapsed="false">
      <c r="A35" s="26" t="s">
        <v>63</v>
      </c>
      <c r="B35" s="26" t="s">
        <v>58</v>
      </c>
      <c r="C35" s="26" t="n">
        <v>5.3</v>
      </c>
      <c r="D35" s="21" t="n">
        <f aca="false">C35*Inputs!$C$6/3600</f>
        <v>0.329777777777778</v>
      </c>
      <c r="E35" s="7" t="n">
        <v>2</v>
      </c>
      <c r="F35" s="22" t="n">
        <f aca="false">IF(E35&lt;=D35,"Understaffed",1-POISSON(E35-1,D35,1))</f>
        <v>0.0437787253572556</v>
      </c>
      <c r="G35" s="23" t="n">
        <f aca="false">IF(E35&lt;=D35,0,(1-F35*EXP(-(E35-D35)*Inputs!$C$8/Inputs!$C$6))*100)</f>
        <v>96.2286391676252</v>
      </c>
      <c r="H35" s="24" t="n">
        <f aca="false">ROUNDUP(E35/Inputs!$C$15,0)</f>
        <v>3</v>
      </c>
      <c r="I35" s="23" t="n">
        <f aca="false">IF(E35=0,0,D35/E35*100)</f>
        <v>16.4888888888889</v>
      </c>
      <c r="J35" s="25" t="str">
        <f aca="false">IF(G35&gt;=Inputs!$C$7,"GREEN",IF(G35&gt;=Inputs!$C$7-10,"AMBER","RED"))</f>
        <v>GREEN</v>
      </c>
      <c r="K35" s="26" t="n">
        <v>4.1</v>
      </c>
      <c r="L35" s="26" t="n">
        <v>6.5</v>
      </c>
    </row>
    <row r="36" customFormat="false" ht="15" hidden="false" customHeight="true" outlineLevel="0" collapsed="false">
      <c r="A36" s="20" t="s">
        <v>63</v>
      </c>
      <c r="B36" s="20" t="s">
        <v>59</v>
      </c>
      <c r="C36" s="20" t="n">
        <v>5.7</v>
      </c>
      <c r="D36" s="21" t="n">
        <f aca="false">C36*Inputs!$C$6/3600</f>
        <v>0.354666666666667</v>
      </c>
      <c r="E36" s="7" t="n">
        <v>2</v>
      </c>
      <c r="F36" s="22" t="n">
        <f aca="false">IF(E36&lt;=D36,"Understaffed",1-POISSON(E36-1,D36,1))</f>
        <v>0.0498270373941074</v>
      </c>
      <c r="G36" s="23" t="n">
        <f aca="false">IF(E36&lt;=D36,0,(1-F36*EXP(-(E36-D36)*Inputs!$C$8/Inputs!$C$6))*100)</f>
        <v>95.6980521807102</v>
      </c>
      <c r="H36" s="24" t="n">
        <f aca="false">ROUNDUP(E36/Inputs!$C$15,0)</f>
        <v>3</v>
      </c>
      <c r="I36" s="23" t="n">
        <f aca="false">IF(E36=0,0,D36/E36*100)</f>
        <v>17.7333333333333</v>
      </c>
      <c r="J36" s="25" t="str">
        <f aca="false">IF(G36&gt;=Inputs!$C$7,"GREEN",IF(G36&gt;=Inputs!$C$7-10,"AMBER","RED"))</f>
        <v>GREEN</v>
      </c>
      <c r="K36" s="20" t="n">
        <v>4.3</v>
      </c>
      <c r="L36" s="20" t="n">
        <v>7</v>
      </c>
    </row>
    <row r="37" customFormat="false" ht="15" hidden="false" customHeight="true" outlineLevel="0" collapsed="false">
      <c r="A37" s="26" t="s">
        <v>63</v>
      </c>
      <c r="B37" s="26" t="s">
        <v>60</v>
      </c>
      <c r="C37" s="26" t="n">
        <v>5.9</v>
      </c>
      <c r="D37" s="21" t="n">
        <f aca="false">C37*Inputs!$C$6/3600</f>
        <v>0.367111111111111</v>
      </c>
      <c r="E37" s="7" t="n">
        <v>2</v>
      </c>
      <c r="F37" s="22" t="n">
        <f aca="false">IF(E37&lt;=D37,"Understaffed",1-POISSON(E37-1,D37,1))</f>
        <v>0.0529574691688954</v>
      </c>
      <c r="G37" s="23" t="n">
        <f aca="false">IF(E37&lt;=D37,0,(1-F37*EXP(-(E37-D37)*Inputs!$C$8/Inputs!$C$6))*100)</f>
        <v>95.4226950818606</v>
      </c>
      <c r="H37" s="24" t="n">
        <f aca="false">ROUNDUP(E37/Inputs!$C$15,0)</f>
        <v>3</v>
      </c>
      <c r="I37" s="23" t="n">
        <f aca="false">IF(E37=0,0,D37/E37*100)</f>
        <v>18.3555555555556</v>
      </c>
      <c r="J37" s="25" t="str">
        <f aca="false">IF(G37&gt;=Inputs!$C$7,"GREEN",IF(G37&gt;=Inputs!$C$7-10,"AMBER","RED"))</f>
        <v>GREEN</v>
      </c>
      <c r="K37" s="26" t="n">
        <v>4.4</v>
      </c>
      <c r="L37" s="26" t="n">
        <v>7.1</v>
      </c>
    </row>
    <row r="38" customFormat="false" ht="15" hidden="false" customHeight="true" outlineLevel="0" collapsed="false">
      <c r="A38" s="20" t="s">
        <v>64</v>
      </c>
      <c r="B38" s="20" t="s">
        <v>52</v>
      </c>
      <c r="C38" s="20" t="n">
        <v>5.9</v>
      </c>
      <c r="D38" s="21" t="n">
        <f aca="false">C38*Inputs!$C$6/3600</f>
        <v>0.367111111111111</v>
      </c>
      <c r="E38" s="7" t="n">
        <v>2</v>
      </c>
      <c r="F38" s="22" t="n">
        <f aca="false">IF(E38&lt;=D38,"Understaffed",1-POISSON(E38-1,D38,1))</f>
        <v>0.0529574691688954</v>
      </c>
      <c r="G38" s="23" t="n">
        <f aca="false">IF(E38&lt;=D38,0,(1-F38*EXP(-(E38-D38)*Inputs!$C$8/Inputs!$C$6))*100)</f>
        <v>95.4226950818606</v>
      </c>
      <c r="H38" s="24" t="n">
        <f aca="false">ROUNDUP(E38/Inputs!$C$15,0)</f>
        <v>3</v>
      </c>
      <c r="I38" s="23" t="n">
        <f aca="false">IF(E38=0,0,D38/E38*100)</f>
        <v>18.3555555555556</v>
      </c>
      <c r="J38" s="25" t="str">
        <f aca="false">IF(G38&gt;=Inputs!$C$7,"GREEN",IF(G38&gt;=Inputs!$C$7-10,"AMBER","RED"))</f>
        <v>GREEN</v>
      </c>
      <c r="K38" s="20" t="n">
        <v>4.6</v>
      </c>
      <c r="L38" s="20" t="n">
        <v>7.2</v>
      </c>
    </row>
    <row r="39" customFormat="false" ht="15" hidden="false" customHeight="true" outlineLevel="0" collapsed="false">
      <c r="A39" s="26" t="s">
        <v>64</v>
      </c>
      <c r="B39" s="26" t="s">
        <v>53</v>
      </c>
      <c r="C39" s="26" t="n">
        <v>5.7</v>
      </c>
      <c r="D39" s="21" t="n">
        <f aca="false">C39*Inputs!$C$6/3600</f>
        <v>0.354666666666667</v>
      </c>
      <c r="E39" s="7" t="n">
        <v>2</v>
      </c>
      <c r="F39" s="22" t="n">
        <f aca="false">IF(E39&lt;=D39,"Understaffed",1-POISSON(E39-1,D39,1))</f>
        <v>0.0498270373941074</v>
      </c>
      <c r="G39" s="23" t="n">
        <f aca="false">IF(E39&lt;=D39,0,(1-F39*EXP(-(E39-D39)*Inputs!$C$8/Inputs!$C$6))*100)</f>
        <v>95.6980521807102</v>
      </c>
      <c r="H39" s="24" t="n">
        <f aca="false">ROUNDUP(E39/Inputs!$C$15,0)</f>
        <v>3</v>
      </c>
      <c r="I39" s="23" t="n">
        <f aca="false">IF(E39=0,0,D39/E39*100)</f>
        <v>17.7333333333333</v>
      </c>
      <c r="J39" s="25" t="str">
        <f aca="false">IF(G39&gt;=Inputs!$C$7,"GREEN",IF(G39&gt;=Inputs!$C$7-10,"AMBER","RED"))</f>
        <v>GREEN</v>
      </c>
      <c r="K39" s="26" t="n">
        <v>4.5</v>
      </c>
      <c r="L39" s="26" t="n">
        <v>6.9</v>
      </c>
    </row>
    <row r="40" customFormat="false" ht="15" hidden="false" customHeight="true" outlineLevel="0" collapsed="false">
      <c r="A40" s="20" t="s">
        <v>64</v>
      </c>
      <c r="B40" s="20" t="s">
        <v>54</v>
      </c>
      <c r="C40" s="20" t="n">
        <v>6.4</v>
      </c>
      <c r="D40" s="21" t="n">
        <f aca="false">C40*Inputs!$C$6/3600</f>
        <v>0.398222222222222</v>
      </c>
      <c r="E40" s="7" t="n">
        <v>2</v>
      </c>
      <c r="F40" s="22" t="n">
        <f aca="false">IF(E40&lt;=D40,"Understaffed",1-POISSON(E40-1,D40,1))</f>
        <v>0.0610759000851505</v>
      </c>
      <c r="G40" s="23" t="n">
        <f aca="false">IF(E40&lt;=D40,0,(1-F40*EXP(-(E40-D40)*Inputs!$C$8/Inputs!$C$6))*100)</f>
        <v>94.7063055365373</v>
      </c>
      <c r="H40" s="24" t="n">
        <f aca="false">ROUNDUP(E40/Inputs!$C$15,0)</f>
        <v>3</v>
      </c>
      <c r="I40" s="23" t="n">
        <f aca="false">IF(E40=0,0,D40/E40*100)</f>
        <v>19.9111111111111</v>
      </c>
      <c r="J40" s="25" t="str">
        <f aca="false">IF(G40&gt;=Inputs!$C$7,"GREEN",IF(G40&gt;=Inputs!$C$7-10,"AMBER","RED"))</f>
        <v>GREEN</v>
      </c>
      <c r="K40" s="20" t="n">
        <v>5</v>
      </c>
      <c r="L40" s="20" t="n">
        <v>7.7</v>
      </c>
    </row>
    <row r="41" customFormat="false" ht="15" hidden="false" customHeight="true" outlineLevel="0" collapsed="false">
      <c r="A41" s="26" t="s">
        <v>64</v>
      </c>
      <c r="B41" s="26" t="s">
        <v>55</v>
      </c>
      <c r="C41" s="26" t="n">
        <v>5.9</v>
      </c>
      <c r="D41" s="21" t="n">
        <f aca="false">C41*Inputs!$C$6/3600</f>
        <v>0.367111111111111</v>
      </c>
      <c r="E41" s="7" t="n">
        <v>2</v>
      </c>
      <c r="F41" s="22" t="n">
        <f aca="false">IF(E41&lt;=D41,"Understaffed",1-POISSON(E41-1,D41,1))</f>
        <v>0.0529574691688954</v>
      </c>
      <c r="G41" s="23" t="n">
        <f aca="false">IF(E41&lt;=D41,0,(1-F41*EXP(-(E41-D41)*Inputs!$C$8/Inputs!$C$6))*100)</f>
        <v>95.4226950818606</v>
      </c>
      <c r="H41" s="24" t="n">
        <f aca="false">ROUNDUP(E41/Inputs!$C$15,0)</f>
        <v>3</v>
      </c>
      <c r="I41" s="23" t="n">
        <f aca="false">IF(E41=0,0,D41/E41*100)</f>
        <v>18.3555555555556</v>
      </c>
      <c r="J41" s="25" t="str">
        <f aca="false">IF(G41&gt;=Inputs!$C$7,"GREEN",IF(G41&gt;=Inputs!$C$7-10,"AMBER","RED"))</f>
        <v>GREEN</v>
      </c>
      <c r="K41" s="26" t="n">
        <v>4.6</v>
      </c>
      <c r="L41" s="26" t="n">
        <v>7.2</v>
      </c>
    </row>
    <row r="42" customFormat="false" ht="15" hidden="false" customHeight="true" outlineLevel="0" collapsed="false">
      <c r="A42" s="20" t="s">
        <v>64</v>
      </c>
      <c r="B42" s="20" t="s">
        <v>56</v>
      </c>
      <c r="C42" s="20" t="n">
        <v>6.4</v>
      </c>
      <c r="D42" s="21" t="n">
        <f aca="false">C42*Inputs!$C$6/3600</f>
        <v>0.398222222222222</v>
      </c>
      <c r="E42" s="7" t="n">
        <v>2</v>
      </c>
      <c r="F42" s="22" t="n">
        <f aca="false">IF(E42&lt;=D42,"Understaffed",1-POISSON(E42-1,D42,1))</f>
        <v>0.0610759000851505</v>
      </c>
      <c r="G42" s="23" t="n">
        <f aca="false">IF(E42&lt;=D42,0,(1-F42*EXP(-(E42-D42)*Inputs!$C$8/Inputs!$C$6))*100)</f>
        <v>94.7063055365373</v>
      </c>
      <c r="H42" s="24" t="n">
        <f aca="false">ROUNDUP(E42/Inputs!$C$15,0)</f>
        <v>3</v>
      </c>
      <c r="I42" s="23" t="n">
        <f aca="false">IF(E42=0,0,D42/E42*100)</f>
        <v>19.9111111111111</v>
      </c>
      <c r="J42" s="25" t="str">
        <f aca="false">IF(G42&gt;=Inputs!$C$7,"GREEN",IF(G42&gt;=Inputs!$C$7-10,"AMBER","RED"))</f>
        <v>GREEN</v>
      </c>
      <c r="K42" s="20" t="n">
        <v>5</v>
      </c>
      <c r="L42" s="20" t="n">
        <v>7.7</v>
      </c>
    </row>
    <row r="43" customFormat="false" ht="15" hidden="false" customHeight="true" outlineLevel="0" collapsed="false">
      <c r="A43" s="26" t="s">
        <v>64</v>
      </c>
      <c r="B43" s="26" t="s">
        <v>57</v>
      </c>
      <c r="C43" s="26" t="n">
        <v>5.4</v>
      </c>
      <c r="D43" s="21" t="n">
        <f aca="false">C43*Inputs!$C$6/3600</f>
        <v>0.336</v>
      </c>
      <c r="E43" s="7" t="n">
        <v>2</v>
      </c>
      <c r="F43" s="22" t="n">
        <f aca="false">IF(E43&lt;=D43,"Understaffed",1-POISSON(E43-1,D43,1))</f>
        <v>0.0452635306297475</v>
      </c>
      <c r="G43" s="23" t="n">
        <f aca="false">IF(E43&lt;=D43,0,(1-F43*EXP(-(E43-D43)*Inputs!$C$8/Inputs!$C$6))*100)</f>
        <v>96.0985623113331</v>
      </c>
      <c r="H43" s="24" t="n">
        <f aca="false">ROUNDUP(E43/Inputs!$C$15,0)</f>
        <v>3</v>
      </c>
      <c r="I43" s="23" t="n">
        <f aca="false">IF(E43=0,0,D43/E43*100)</f>
        <v>16.8</v>
      </c>
      <c r="J43" s="25" t="str">
        <f aca="false">IF(G43&gt;=Inputs!$C$7,"GREEN",IF(G43&gt;=Inputs!$C$7-10,"AMBER","RED"))</f>
        <v>GREEN</v>
      </c>
      <c r="K43" s="26" t="n">
        <v>4.2</v>
      </c>
      <c r="L43" s="26" t="n">
        <v>6.5</v>
      </c>
    </row>
    <row r="44" customFormat="false" ht="15" hidden="false" customHeight="true" outlineLevel="0" collapsed="false">
      <c r="A44" s="20" t="s">
        <v>64</v>
      </c>
      <c r="B44" s="20" t="s">
        <v>58</v>
      </c>
      <c r="C44" s="20" t="n">
        <v>5.8</v>
      </c>
      <c r="D44" s="21" t="n">
        <f aca="false">C44*Inputs!$C$6/3600</f>
        <v>0.360888888888889</v>
      </c>
      <c r="E44" s="7" t="n">
        <v>2</v>
      </c>
      <c r="F44" s="22" t="n">
        <f aca="false">IF(E44&lt;=D44,"Understaffed",1-POISSON(E44-1,D44,1))</f>
        <v>0.0513836292339926</v>
      </c>
      <c r="G44" s="23" t="n">
        <f aca="false">IF(E44&lt;=D44,0,(1-F44*EXP(-(E44-D44)*Inputs!$C$8/Inputs!$C$6))*100)</f>
        <v>95.5611944277516</v>
      </c>
      <c r="H44" s="24" t="n">
        <f aca="false">ROUNDUP(E44/Inputs!$C$15,0)</f>
        <v>3</v>
      </c>
      <c r="I44" s="23" t="n">
        <f aca="false">IF(E44=0,0,D44/E44*100)</f>
        <v>18.0444444444444</v>
      </c>
      <c r="J44" s="25" t="str">
        <f aca="false">IF(G44&gt;=Inputs!$C$7,"GREEN",IF(G44&gt;=Inputs!$C$7-10,"AMBER","RED"))</f>
        <v>GREEN</v>
      </c>
      <c r="K44" s="20" t="n">
        <v>4.5</v>
      </c>
      <c r="L44" s="20" t="n">
        <v>7</v>
      </c>
    </row>
    <row r="45" customFormat="false" ht="15" hidden="false" customHeight="true" outlineLevel="0" collapsed="false">
      <c r="A45" s="26" t="s">
        <v>64</v>
      </c>
      <c r="B45" s="26" t="s">
        <v>59</v>
      </c>
      <c r="C45" s="26" t="n">
        <v>6.2</v>
      </c>
      <c r="D45" s="21" t="n">
        <f aca="false">C45*Inputs!$C$6/3600</f>
        <v>0.385777777777778</v>
      </c>
      <c r="E45" s="7" t="n">
        <v>2</v>
      </c>
      <c r="F45" s="22" t="n">
        <f aca="false">IF(E45&lt;=D45,"Understaffed",1-POISSON(E45-1,D45,1))</f>
        <v>0.0577797525096471</v>
      </c>
      <c r="G45" s="23" t="n">
        <f aca="false">IF(E45&lt;=D45,0,(1-F45*EXP(-(E45-D45)*Inputs!$C$8/Inputs!$C$6))*100)</f>
        <v>94.9975572927541</v>
      </c>
      <c r="H45" s="24" t="n">
        <f aca="false">ROUNDUP(E45/Inputs!$C$15,0)</f>
        <v>3</v>
      </c>
      <c r="I45" s="23" t="n">
        <f aca="false">IF(E45=0,0,D45/E45*100)</f>
        <v>19.2888888888889</v>
      </c>
      <c r="J45" s="25" t="str">
        <f aca="false">IF(G45&gt;=Inputs!$C$7,"GREEN",IF(G45&gt;=Inputs!$C$7-10,"AMBER","RED"))</f>
        <v>GREEN</v>
      </c>
      <c r="K45" s="26" t="n">
        <v>4.8</v>
      </c>
      <c r="L45" s="26" t="n">
        <v>7.4</v>
      </c>
    </row>
    <row r="46" customFormat="false" ht="15" hidden="false" customHeight="true" outlineLevel="0" collapsed="false">
      <c r="A46" s="20" t="s">
        <v>64</v>
      </c>
      <c r="B46" s="20" t="s">
        <v>60</v>
      </c>
      <c r="C46" s="20" t="n">
        <v>6.3</v>
      </c>
      <c r="D46" s="21" t="n">
        <f aca="false">C46*Inputs!$C$6/3600</f>
        <v>0.392</v>
      </c>
      <c r="E46" s="7" t="n">
        <v>2</v>
      </c>
      <c r="F46" s="22" t="n">
        <f aca="false">IF(E46&lt;=D46,"Understaffed",1-POISSON(E46-1,D46,1))</f>
        <v>0.0594198733668085</v>
      </c>
      <c r="G46" s="23" t="n">
        <f aca="false">IF(E46&lt;=D46,0,(1-F46*EXP(-(E46-D46)*Inputs!$C$8/Inputs!$C$6))*100)</f>
        <v>94.8527004531687</v>
      </c>
      <c r="H46" s="24" t="n">
        <f aca="false">ROUNDUP(E46/Inputs!$C$15,0)</f>
        <v>3</v>
      </c>
      <c r="I46" s="23" t="n">
        <f aca="false">IF(E46=0,0,D46/E46*100)</f>
        <v>19.6</v>
      </c>
      <c r="J46" s="25" t="str">
        <f aca="false">IF(G46&gt;=Inputs!$C$7,"GREEN",IF(G46&gt;=Inputs!$C$7-10,"AMBER","RED"))</f>
        <v>GREEN</v>
      </c>
      <c r="K46" s="20" t="n">
        <v>4.9</v>
      </c>
      <c r="L46" s="20" t="n">
        <v>7.6</v>
      </c>
    </row>
    <row r="47" customFormat="false" ht="15" hidden="false" customHeight="true" outlineLevel="0" collapsed="false">
      <c r="A47" s="26" t="s">
        <v>65</v>
      </c>
      <c r="B47" s="26" t="s">
        <v>52</v>
      </c>
      <c r="C47" s="26" t="n">
        <v>5.2</v>
      </c>
      <c r="D47" s="21" t="n">
        <f aca="false">C47*Inputs!$C$6/3600</f>
        <v>0.323555555555556</v>
      </c>
      <c r="E47" s="7" t="n">
        <v>2</v>
      </c>
      <c r="F47" s="22" t="n">
        <f aca="false">IF(E47&lt;=D47,"Understaffed",1-POISSON(E47-1,D47,1))</f>
        <v>0.0423125793600404</v>
      </c>
      <c r="G47" s="23" t="n">
        <f aca="false">IF(E47&lt;=D47,0,(1-F47*EXP(-(E47-D47)*Inputs!$C$8/Inputs!$C$6))*100)</f>
        <v>96.3569662090607</v>
      </c>
      <c r="H47" s="24" t="n">
        <f aca="false">ROUNDUP(E47/Inputs!$C$15,0)</f>
        <v>3</v>
      </c>
      <c r="I47" s="23" t="n">
        <f aca="false">IF(E47=0,0,D47/E47*100)</f>
        <v>16.1777777777778</v>
      </c>
      <c r="J47" s="25" t="str">
        <f aca="false">IF(G47&gt;=Inputs!$C$7,"GREEN",IF(G47&gt;=Inputs!$C$7-10,"AMBER","RED"))</f>
        <v>GREEN</v>
      </c>
      <c r="K47" s="26" t="n">
        <v>3.9</v>
      </c>
      <c r="L47" s="26" t="n">
        <v>6.5</v>
      </c>
    </row>
    <row r="48" customFormat="false" ht="15" hidden="false" customHeight="true" outlineLevel="0" collapsed="false">
      <c r="A48" s="20" t="s">
        <v>65</v>
      </c>
      <c r="B48" s="20" t="s">
        <v>53</v>
      </c>
      <c r="C48" s="20" t="n">
        <v>5</v>
      </c>
      <c r="D48" s="21" t="n">
        <f aca="false">C48*Inputs!$C$6/3600</f>
        <v>0.311111111111111</v>
      </c>
      <c r="E48" s="7" t="n">
        <v>2</v>
      </c>
      <c r="F48" s="22" t="n">
        <f aca="false">IF(E48&lt;=D48,"Understaffed",1-POISSON(E48-1,D48,1))</f>
        <v>0.0394374311863616</v>
      </c>
      <c r="G48" s="23" t="n">
        <f aca="false">IF(E48&lt;=D48,0,(1-F48*EXP(-(E48-D48)*Inputs!$C$8/Inputs!$C$6))*100)</f>
        <v>96.6082817491731</v>
      </c>
      <c r="H48" s="24" t="n">
        <f aca="false">ROUNDUP(E48/Inputs!$C$15,0)</f>
        <v>3</v>
      </c>
      <c r="I48" s="23" t="n">
        <f aca="false">IF(E48=0,0,D48/E48*100)</f>
        <v>15.5555555555556</v>
      </c>
      <c r="J48" s="25" t="str">
        <f aca="false">IF(G48&gt;=Inputs!$C$7,"GREEN",IF(G48&gt;=Inputs!$C$7-10,"AMBER","RED"))</f>
        <v>GREEN</v>
      </c>
      <c r="K48" s="20" t="n">
        <v>3.7</v>
      </c>
      <c r="L48" s="20" t="n">
        <v>6.3</v>
      </c>
    </row>
    <row r="49" customFormat="false" ht="15" hidden="false" customHeight="true" outlineLevel="0" collapsed="false">
      <c r="A49" s="26" t="s">
        <v>65</v>
      </c>
      <c r="B49" s="26" t="s">
        <v>54</v>
      </c>
      <c r="C49" s="26" t="n">
        <v>5.5</v>
      </c>
      <c r="D49" s="21" t="n">
        <f aca="false">C49*Inputs!$C$6/3600</f>
        <v>0.342222222222222</v>
      </c>
      <c r="E49" s="7" t="n">
        <v>2</v>
      </c>
      <c r="F49" s="22" t="n">
        <f aca="false">IF(E49&lt;=D49,"Understaffed",1-POISSON(E49-1,D49,1))</f>
        <v>0.0467667072826541</v>
      </c>
      <c r="G49" s="23" t="n">
        <f aca="false">IF(E49&lt;=D49,0,(1-F49*EXP(-(E49-D49)*Inputs!$C$8/Inputs!$C$6))*100)</f>
        <v>95.9667576698329</v>
      </c>
      <c r="H49" s="24" t="n">
        <f aca="false">ROUNDUP(E49/Inputs!$C$15,0)</f>
        <v>3</v>
      </c>
      <c r="I49" s="23" t="n">
        <f aca="false">IF(E49=0,0,D49/E49*100)</f>
        <v>17.1111111111111</v>
      </c>
      <c r="J49" s="25" t="str">
        <f aca="false">IF(G49&gt;=Inputs!$C$7,"GREEN",IF(G49&gt;=Inputs!$C$7-10,"AMBER","RED"))</f>
        <v>GREEN</v>
      </c>
      <c r="K49" s="26" t="n">
        <v>4.1</v>
      </c>
      <c r="L49" s="26" t="n">
        <v>7</v>
      </c>
    </row>
    <row r="50" customFormat="false" ht="15" hidden="false" customHeight="true" outlineLevel="0" collapsed="false">
      <c r="A50" s="20" t="s">
        <v>65</v>
      </c>
      <c r="B50" s="20" t="s">
        <v>55</v>
      </c>
      <c r="C50" s="20" t="n">
        <v>5.2</v>
      </c>
      <c r="D50" s="21" t="n">
        <f aca="false">C50*Inputs!$C$6/3600</f>
        <v>0.323555555555556</v>
      </c>
      <c r="E50" s="7" t="n">
        <v>2</v>
      </c>
      <c r="F50" s="22" t="n">
        <f aca="false">IF(E50&lt;=D50,"Understaffed",1-POISSON(E50-1,D50,1))</f>
        <v>0.0423125793600404</v>
      </c>
      <c r="G50" s="23" t="n">
        <f aca="false">IF(E50&lt;=D50,0,(1-F50*EXP(-(E50-D50)*Inputs!$C$8/Inputs!$C$6))*100)</f>
        <v>96.3569662090607</v>
      </c>
      <c r="H50" s="24" t="n">
        <f aca="false">ROUNDUP(E50/Inputs!$C$15,0)</f>
        <v>3</v>
      </c>
      <c r="I50" s="23" t="n">
        <f aca="false">IF(E50=0,0,D50/E50*100)</f>
        <v>16.1777777777778</v>
      </c>
      <c r="J50" s="25" t="str">
        <f aca="false">IF(G50&gt;=Inputs!$C$7,"GREEN",IF(G50&gt;=Inputs!$C$7-10,"AMBER","RED"))</f>
        <v>GREEN</v>
      </c>
      <c r="K50" s="20" t="n">
        <v>3.9</v>
      </c>
      <c r="L50" s="20" t="n">
        <v>6.5</v>
      </c>
    </row>
    <row r="51" customFormat="false" ht="15" hidden="false" customHeight="true" outlineLevel="0" collapsed="false">
      <c r="A51" s="26" t="s">
        <v>65</v>
      </c>
      <c r="B51" s="26" t="s">
        <v>56</v>
      </c>
      <c r="C51" s="26" t="n">
        <v>5.6</v>
      </c>
      <c r="D51" s="21" t="n">
        <f aca="false">C51*Inputs!$C$6/3600</f>
        <v>0.348444444444444</v>
      </c>
      <c r="E51" s="7" t="n">
        <v>2</v>
      </c>
      <c r="F51" s="22" t="n">
        <f aca="false">IF(E51&lt;=D51,"Understaffed",1-POISSON(E51-1,D51,1))</f>
        <v>0.048287970274747</v>
      </c>
      <c r="G51" s="23" t="n">
        <f aca="false">IF(E51&lt;=D51,0,(1-F51*EXP(-(E51-D51)*Inputs!$C$8/Inputs!$C$6))*100)</f>
        <v>95.8332470786567</v>
      </c>
      <c r="H51" s="24" t="n">
        <f aca="false">ROUNDUP(E51/Inputs!$C$15,0)</f>
        <v>3</v>
      </c>
      <c r="I51" s="23" t="n">
        <f aca="false">IF(E51=0,0,D51/E51*100)</f>
        <v>17.4222222222222</v>
      </c>
      <c r="J51" s="25" t="str">
        <f aca="false">IF(G51&gt;=Inputs!$C$7,"GREEN",IF(G51&gt;=Inputs!$C$7-10,"AMBER","RED"))</f>
        <v>GREEN</v>
      </c>
      <c r="K51" s="26" t="n">
        <v>4.2</v>
      </c>
      <c r="L51" s="26" t="n">
        <v>7</v>
      </c>
    </row>
    <row r="52" customFormat="false" ht="15" hidden="false" customHeight="true" outlineLevel="0" collapsed="false">
      <c r="A52" s="20" t="s">
        <v>65</v>
      </c>
      <c r="B52" s="20" t="s">
        <v>57</v>
      </c>
      <c r="C52" s="20" t="n">
        <v>4.7</v>
      </c>
      <c r="D52" s="21" t="n">
        <f aca="false">C52*Inputs!$C$6/3600</f>
        <v>0.292444444444444</v>
      </c>
      <c r="E52" s="7" t="n">
        <v>2</v>
      </c>
      <c r="F52" s="22" t="n">
        <f aca="false">IF(E52&lt;=D52,"Understaffed",1-POISSON(E52-1,D52,1))</f>
        <v>0.0352720176833574</v>
      </c>
      <c r="G52" s="23" t="n">
        <f aca="false">IF(E52&lt;=D52,0,(1-F52*EXP(-(E52-D52)*Inputs!$C$8/Inputs!$C$6))*100)</f>
        <v>96.9715693775827</v>
      </c>
      <c r="H52" s="24" t="n">
        <f aca="false">ROUNDUP(E52/Inputs!$C$15,0)</f>
        <v>3</v>
      </c>
      <c r="I52" s="23" t="n">
        <f aca="false">IF(E52=0,0,D52/E52*100)</f>
        <v>14.6222222222222</v>
      </c>
      <c r="J52" s="25" t="str">
        <f aca="false">IF(G52&gt;=Inputs!$C$7,"GREEN",IF(G52&gt;=Inputs!$C$7-10,"AMBER","RED"))</f>
        <v>GREEN</v>
      </c>
      <c r="K52" s="20" t="n">
        <v>3.5</v>
      </c>
      <c r="L52" s="20" t="n">
        <v>5.9</v>
      </c>
    </row>
    <row r="53" customFormat="false" ht="15" hidden="false" customHeight="true" outlineLevel="0" collapsed="false">
      <c r="A53" s="26" t="s">
        <v>65</v>
      </c>
      <c r="B53" s="26" t="s">
        <v>58</v>
      </c>
      <c r="C53" s="26" t="n">
        <v>5</v>
      </c>
      <c r="D53" s="21" t="n">
        <f aca="false">C53*Inputs!$C$6/3600</f>
        <v>0.311111111111111</v>
      </c>
      <c r="E53" s="7" t="n">
        <v>2</v>
      </c>
      <c r="F53" s="22" t="n">
        <f aca="false">IF(E53&lt;=D53,"Understaffed",1-POISSON(E53-1,D53,1))</f>
        <v>0.0394374311863616</v>
      </c>
      <c r="G53" s="23" t="n">
        <f aca="false">IF(E53&lt;=D53,0,(1-F53*EXP(-(E53-D53)*Inputs!$C$8/Inputs!$C$6))*100)</f>
        <v>96.6082817491731</v>
      </c>
      <c r="H53" s="24" t="n">
        <f aca="false">ROUNDUP(E53/Inputs!$C$15,0)</f>
        <v>3</v>
      </c>
      <c r="I53" s="23" t="n">
        <f aca="false">IF(E53=0,0,D53/E53*100)</f>
        <v>15.5555555555556</v>
      </c>
      <c r="J53" s="25" t="str">
        <f aca="false">IF(G53&gt;=Inputs!$C$7,"GREEN",IF(G53&gt;=Inputs!$C$7-10,"AMBER","RED"))</f>
        <v>GREEN</v>
      </c>
      <c r="K53" s="26" t="n">
        <v>3.7</v>
      </c>
      <c r="L53" s="26" t="n">
        <v>6.3</v>
      </c>
    </row>
    <row r="54" customFormat="false" ht="15" hidden="false" customHeight="true" outlineLevel="0" collapsed="false">
      <c r="A54" s="20" t="s">
        <v>65</v>
      </c>
      <c r="B54" s="20" t="s">
        <v>59</v>
      </c>
      <c r="C54" s="20" t="n">
        <v>5.4</v>
      </c>
      <c r="D54" s="21" t="n">
        <f aca="false">C54*Inputs!$C$6/3600</f>
        <v>0.336</v>
      </c>
      <c r="E54" s="7" t="n">
        <v>2</v>
      </c>
      <c r="F54" s="22" t="n">
        <f aca="false">IF(E54&lt;=D54,"Understaffed",1-POISSON(E54-1,D54,1))</f>
        <v>0.0452635306297475</v>
      </c>
      <c r="G54" s="23" t="n">
        <f aca="false">IF(E54&lt;=D54,0,(1-F54*EXP(-(E54-D54)*Inputs!$C$8/Inputs!$C$6))*100)</f>
        <v>96.0985623113331</v>
      </c>
      <c r="H54" s="24" t="n">
        <f aca="false">ROUNDUP(E54/Inputs!$C$15,0)</f>
        <v>3</v>
      </c>
      <c r="I54" s="23" t="n">
        <f aca="false">IF(E54=0,0,D54/E54*100)</f>
        <v>16.8</v>
      </c>
      <c r="J54" s="25" t="str">
        <f aca="false">IF(G54&gt;=Inputs!$C$7,"GREEN",IF(G54&gt;=Inputs!$C$7-10,"AMBER","RED"))</f>
        <v>GREEN</v>
      </c>
      <c r="K54" s="20" t="n">
        <v>4</v>
      </c>
      <c r="L54" s="20" t="n">
        <v>6.7</v>
      </c>
    </row>
    <row r="55" customFormat="false" ht="15" hidden="false" customHeight="true" outlineLevel="0" collapsed="false">
      <c r="A55" s="26" t="s">
        <v>65</v>
      </c>
      <c r="B55" s="26" t="s">
        <v>60</v>
      </c>
      <c r="C55" s="26" t="n">
        <v>5.5</v>
      </c>
      <c r="D55" s="21" t="n">
        <f aca="false">C55*Inputs!$C$6/3600</f>
        <v>0.342222222222222</v>
      </c>
      <c r="E55" s="7" t="n">
        <v>2</v>
      </c>
      <c r="F55" s="22" t="n">
        <f aca="false">IF(E55&lt;=D55,"Understaffed",1-POISSON(E55-1,D55,1))</f>
        <v>0.0467667072826541</v>
      </c>
      <c r="G55" s="23" t="n">
        <f aca="false">IF(E55&lt;=D55,0,(1-F55*EXP(-(E55-D55)*Inputs!$C$8/Inputs!$C$6))*100)</f>
        <v>95.9667576698329</v>
      </c>
      <c r="H55" s="24" t="n">
        <f aca="false">ROUNDUP(E55/Inputs!$C$15,0)</f>
        <v>3</v>
      </c>
      <c r="I55" s="23" t="n">
        <f aca="false">IF(E55=0,0,D55/E55*100)</f>
        <v>17.1111111111111</v>
      </c>
      <c r="J55" s="25" t="str">
        <f aca="false">IF(G55&gt;=Inputs!$C$7,"GREEN",IF(G55&gt;=Inputs!$C$7-10,"AMBER","RED"))</f>
        <v>GREEN</v>
      </c>
      <c r="K55" s="26" t="n">
        <v>4.1</v>
      </c>
      <c r="L55" s="26" t="n">
        <v>6.9</v>
      </c>
    </row>
    <row r="56" customFormat="false" ht="15" hidden="false" customHeight="true" outlineLevel="0" collapsed="false">
      <c r="A56" s="20" t="s">
        <v>66</v>
      </c>
      <c r="B56" s="20" t="s">
        <v>52</v>
      </c>
      <c r="C56" s="20" t="n">
        <v>5.2</v>
      </c>
      <c r="D56" s="21" t="n">
        <f aca="false">C56*Inputs!$C$6/3600</f>
        <v>0.323555555555556</v>
      </c>
      <c r="E56" s="7" t="n">
        <v>2</v>
      </c>
      <c r="F56" s="22" t="n">
        <f aca="false">IF(E56&lt;=D56,"Understaffed",1-POISSON(E56-1,D56,1))</f>
        <v>0.0423125793600404</v>
      </c>
      <c r="G56" s="23" t="n">
        <f aca="false">IF(E56&lt;=D56,0,(1-F56*EXP(-(E56-D56)*Inputs!$C$8/Inputs!$C$6))*100)</f>
        <v>96.3569662090607</v>
      </c>
      <c r="H56" s="24" t="n">
        <f aca="false">ROUNDUP(E56/Inputs!$C$15,0)</f>
        <v>3</v>
      </c>
      <c r="I56" s="23" t="n">
        <f aca="false">IF(E56=0,0,D56/E56*100)</f>
        <v>16.1777777777778</v>
      </c>
      <c r="J56" s="25" t="str">
        <f aca="false">IF(G56&gt;=Inputs!$C$7,"GREEN",IF(G56&gt;=Inputs!$C$7-10,"AMBER","RED"))</f>
        <v>GREEN</v>
      </c>
      <c r="K56" s="20" t="n">
        <v>3.9</v>
      </c>
      <c r="L56" s="20" t="n">
        <v>6.5</v>
      </c>
    </row>
    <row r="57" customFormat="false" ht="15" hidden="false" customHeight="true" outlineLevel="0" collapsed="false">
      <c r="A57" s="26" t="s">
        <v>66</v>
      </c>
      <c r="B57" s="26" t="s">
        <v>53</v>
      </c>
      <c r="C57" s="26" t="n">
        <v>5</v>
      </c>
      <c r="D57" s="21" t="n">
        <f aca="false">C57*Inputs!$C$6/3600</f>
        <v>0.311111111111111</v>
      </c>
      <c r="E57" s="7" t="n">
        <v>2</v>
      </c>
      <c r="F57" s="22" t="n">
        <f aca="false">IF(E57&lt;=D57,"Understaffed",1-POISSON(E57-1,D57,1))</f>
        <v>0.0394374311863616</v>
      </c>
      <c r="G57" s="23" t="n">
        <f aca="false">IF(E57&lt;=D57,0,(1-F57*EXP(-(E57-D57)*Inputs!$C$8/Inputs!$C$6))*100)</f>
        <v>96.6082817491731</v>
      </c>
      <c r="H57" s="24" t="n">
        <f aca="false">ROUNDUP(E57/Inputs!$C$15,0)</f>
        <v>3</v>
      </c>
      <c r="I57" s="23" t="n">
        <f aca="false">IF(E57=0,0,D57/E57*100)</f>
        <v>15.5555555555556</v>
      </c>
      <c r="J57" s="25" t="str">
        <f aca="false">IF(G57&gt;=Inputs!$C$7,"GREEN",IF(G57&gt;=Inputs!$C$7-10,"AMBER","RED"))</f>
        <v>GREEN</v>
      </c>
      <c r="K57" s="26" t="n">
        <v>3.7</v>
      </c>
      <c r="L57" s="26" t="n">
        <v>6.3</v>
      </c>
    </row>
    <row r="58" customFormat="false" ht="15" hidden="false" customHeight="true" outlineLevel="0" collapsed="false">
      <c r="A58" s="20" t="s">
        <v>66</v>
      </c>
      <c r="B58" s="20" t="s">
        <v>54</v>
      </c>
      <c r="C58" s="20" t="n">
        <v>5.5</v>
      </c>
      <c r="D58" s="21" t="n">
        <f aca="false">C58*Inputs!$C$6/3600</f>
        <v>0.342222222222222</v>
      </c>
      <c r="E58" s="7" t="n">
        <v>2</v>
      </c>
      <c r="F58" s="22" t="n">
        <f aca="false">IF(E58&lt;=D58,"Understaffed",1-POISSON(E58-1,D58,1))</f>
        <v>0.0467667072826541</v>
      </c>
      <c r="G58" s="23" t="n">
        <f aca="false">IF(E58&lt;=D58,0,(1-F58*EXP(-(E58-D58)*Inputs!$C$8/Inputs!$C$6))*100)</f>
        <v>95.9667576698329</v>
      </c>
      <c r="H58" s="24" t="n">
        <f aca="false">ROUNDUP(E58/Inputs!$C$15,0)</f>
        <v>3</v>
      </c>
      <c r="I58" s="23" t="n">
        <f aca="false">IF(E58=0,0,D58/E58*100)</f>
        <v>17.1111111111111</v>
      </c>
      <c r="J58" s="25" t="str">
        <f aca="false">IF(G58&gt;=Inputs!$C$7,"GREEN",IF(G58&gt;=Inputs!$C$7-10,"AMBER","RED"))</f>
        <v>GREEN</v>
      </c>
      <c r="K58" s="20" t="n">
        <v>4.1</v>
      </c>
      <c r="L58" s="20" t="n">
        <v>7</v>
      </c>
    </row>
    <row r="59" customFormat="false" ht="15" hidden="false" customHeight="true" outlineLevel="0" collapsed="false">
      <c r="A59" s="26" t="s">
        <v>66</v>
      </c>
      <c r="B59" s="26" t="s">
        <v>55</v>
      </c>
      <c r="C59" s="26" t="n">
        <v>5.2</v>
      </c>
      <c r="D59" s="21" t="n">
        <f aca="false">C59*Inputs!$C$6/3600</f>
        <v>0.323555555555556</v>
      </c>
      <c r="E59" s="7" t="n">
        <v>2</v>
      </c>
      <c r="F59" s="22" t="n">
        <f aca="false">IF(E59&lt;=D59,"Understaffed",1-POISSON(E59-1,D59,1))</f>
        <v>0.0423125793600404</v>
      </c>
      <c r="G59" s="23" t="n">
        <f aca="false">IF(E59&lt;=D59,0,(1-F59*EXP(-(E59-D59)*Inputs!$C$8/Inputs!$C$6))*100)</f>
        <v>96.3569662090607</v>
      </c>
      <c r="H59" s="24" t="n">
        <f aca="false">ROUNDUP(E59/Inputs!$C$15,0)</f>
        <v>3</v>
      </c>
      <c r="I59" s="23" t="n">
        <f aca="false">IF(E59=0,0,D59/E59*100)</f>
        <v>16.1777777777778</v>
      </c>
      <c r="J59" s="25" t="str">
        <f aca="false">IF(G59&gt;=Inputs!$C$7,"GREEN",IF(G59&gt;=Inputs!$C$7-10,"AMBER","RED"))</f>
        <v>GREEN</v>
      </c>
      <c r="K59" s="26" t="n">
        <v>3.9</v>
      </c>
      <c r="L59" s="26" t="n">
        <v>6.5</v>
      </c>
    </row>
    <row r="60" customFormat="false" ht="15" hidden="false" customHeight="true" outlineLevel="0" collapsed="false">
      <c r="A60" s="20" t="s">
        <v>66</v>
      </c>
      <c r="B60" s="20" t="s">
        <v>56</v>
      </c>
      <c r="C60" s="20" t="n">
        <v>5.6</v>
      </c>
      <c r="D60" s="21" t="n">
        <f aca="false">C60*Inputs!$C$6/3600</f>
        <v>0.348444444444444</v>
      </c>
      <c r="E60" s="7" t="n">
        <v>2</v>
      </c>
      <c r="F60" s="22" t="n">
        <f aca="false">IF(E60&lt;=D60,"Understaffed",1-POISSON(E60-1,D60,1))</f>
        <v>0.048287970274747</v>
      </c>
      <c r="G60" s="23" t="n">
        <f aca="false">IF(E60&lt;=D60,0,(1-F60*EXP(-(E60-D60)*Inputs!$C$8/Inputs!$C$6))*100)</f>
        <v>95.8332470786567</v>
      </c>
      <c r="H60" s="24" t="n">
        <f aca="false">ROUNDUP(E60/Inputs!$C$15,0)</f>
        <v>3</v>
      </c>
      <c r="I60" s="23" t="n">
        <f aca="false">IF(E60=0,0,D60/E60*100)</f>
        <v>17.4222222222222</v>
      </c>
      <c r="J60" s="25" t="str">
        <f aca="false">IF(G60&gt;=Inputs!$C$7,"GREEN",IF(G60&gt;=Inputs!$C$7-10,"AMBER","RED"))</f>
        <v>GREEN</v>
      </c>
      <c r="K60" s="20" t="n">
        <v>4.2</v>
      </c>
      <c r="L60" s="20" t="n">
        <v>7</v>
      </c>
    </row>
    <row r="61" customFormat="false" ht="15" hidden="false" customHeight="true" outlineLevel="0" collapsed="false">
      <c r="A61" s="26" t="s">
        <v>66</v>
      </c>
      <c r="B61" s="26" t="s">
        <v>57</v>
      </c>
      <c r="C61" s="26" t="n">
        <v>4.7</v>
      </c>
      <c r="D61" s="21" t="n">
        <f aca="false">C61*Inputs!$C$6/3600</f>
        <v>0.292444444444444</v>
      </c>
      <c r="E61" s="7" t="n">
        <v>2</v>
      </c>
      <c r="F61" s="22" t="n">
        <f aca="false">IF(E61&lt;=D61,"Understaffed",1-POISSON(E61-1,D61,1))</f>
        <v>0.0352720176833574</v>
      </c>
      <c r="G61" s="23" t="n">
        <f aca="false">IF(E61&lt;=D61,0,(1-F61*EXP(-(E61-D61)*Inputs!$C$8/Inputs!$C$6))*100)</f>
        <v>96.9715693775827</v>
      </c>
      <c r="H61" s="24" t="n">
        <f aca="false">ROUNDUP(E61/Inputs!$C$15,0)</f>
        <v>3</v>
      </c>
      <c r="I61" s="23" t="n">
        <f aca="false">IF(E61=0,0,D61/E61*100)</f>
        <v>14.6222222222222</v>
      </c>
      <c r="J61" s="25" t="str">
        <f aca="false">IF(G61&gt;=Inputs!$C$7,"GREEN",IF(G61&gt;=Inputs!$C$7-10,"AMBER","RED"))</f>
        <v>GREEN</v>
      </c>
      <c r="K61" s="26" t="n">
        <v>3.5</v>
      </c>
      <c r="L61" s="26" t="n">
        <v>5.9</v>
      </c>
    </row>
    <row r="62" customFormat="false" ht="15" hidden="false" customHeight="true" outlineLevel="0" collapsed="false">
      <c r="A62" s="20" t="s">
        <v>66</v>
      </c>
      <c r="B62" s="20" t="s">
        <v>58</v>
      </c>
      <c r="C62" s="20" t="n">
        <v>5</v>
      </c>
      <c r="D62" s="21" t="n">
        <f aca="false">C62*Inputs!$C$6/3600</f>
        <v>0.311111111111111</v>
      </c>
      <c r="E62" s="7" t="n">
        <v>2</v>
      </c>
      <c r="F62" s="22" t="n">
        <f aca="false">IF(E62&lt;=D62,"Understaffed",1-POISSON(E62-1,D62,1))</f>
        <v>0.0394374311863616</v>
      </c>
      <c r="G62" s="23" t="n">
        <f aca="false">IF(E62&lt;=D62,0,(1-F62*EXP(-(E62-D62)*Inputs!$C$8/Inputs!$C$6))*100)</f>
        <v>96.6082817491731</v>
      </c>
      <c r="H62" s="24" t="n">
        <f aca="false">ROUNDUP(E62/Inputs!$C$15,0)</f>
        <v>3</v>
      </c>
      <c r="I62" s="23" t="n">
        <f aca="false">IF(E62=0,0,D62/E62*100)</f>
        <v>15.5555555555556</v>
      </c>
      <c r="J62" s="25" t="str">
        <f aca="false">IF(G62&gt;=Inputs!$C$7,"GREEN",IF(G62&gt;=Inputs!$C$7-10,"AMBER","RED"))</f>
        <v>GREEN</v>
      </c>
      <c r="K62" s="20" t="n">
        <v>3.7</v>
      </c>
      <c r="L62" s="20" t="n">
        <v>6.3</v>
      </c>
    </row>
    <row r="63" customFormat="false" ht="15" hidden="false" customHeight="true" outlineLevel="0" collapsed="false">
      <c r="A63" s="26" t="s">
        <v>66</v>
      </c>
      <c r="B63" s="26" t="s">
        <v>59</v>
      </c>
      <c r="C63" s="26" t="n">
        <v>5.4</v>
      </c>
      <c r="D63" s="21" t="n">
        <f aca="false">C63*Inputs!$C$6/3600</f>
        <v>0.336</v>
      </c>
      <c r="E63" s="7" t="n">
        <v>2</v>
      </c>
      <c r="F63" s="22" t="n">
        <f aca="false">IF(E63&lt;=D63,"Understaffed",1-POISSON(E63-1,D63,1))</f>
        <v>0.0452635306297475</v>
      </c>
      <c r="G63" s="23" t="n">
        <f aca="false">IF(E63&lt;=D63,0,(1-F63*EXP(-(E63-D63)*Inputs!$C$8/Inputs!$C$6))*100)</f>
        <v>96.0985623113331</v>
      </c>
      <c r="H63" s="24" t="n">
        <f aca="false">ROUNDUP(E63/Inputs!$C$15,0)</f>
        <v>3</v>
      </c>
      <c r="I63" s="23" t="n">
        <f aca="false">IF(E63=0,0,D63/E63*100)</f>
        <v>16.8</v>
      </c>
      <c r="J63" s="25" t="str">
        <f aca="false">IF(G63&gt;=Inputs!$C$7,"GREEN",IF(G63&gt;=Inputs!$C$7-10,"AMBER","RED"))</f>
        <v>GREEN</v>
      </c>
      <c r="K63" s="26" t="n">
        <v>4</v>
      </c>
      <c r="L63" s="26" t="n">
        <v>6.7</v>
      </c>
    </row>
    <row r="64" customFormat="false" ht="15" hidden="false" customHeight="true" outlineLevel="0" collapsed="false">
      <c r="A64" s="20" t="s">
        <v>66</v>
      </c>
      <c r="B64" s="20" t="s">
        <v>60</v>
      </c>
      <c r="C64" s="20" t="n">
        <v>5.5</v>
      </c>
      <c r="D64" s="21" t="n">
        <f aca="false">C64*Inputs!$C$6/3600</f>
        <v>0.342222222222222</v>
      </c>
      <c r="E64" s="7" t="n">
        <v>2</v>
      </c>
      <c r="F64" s="22" t="n">
        <f aca="false">IF(E64&lt;=D64,"Understaffed",1-POISSON(E64-1,D64,1))</f>
        <v>0.0467667072826541</v>
      </c>
      <c r="G64" s="23" t="n">
        <f aca="false">IF(E64&lt;=D64,0,(1-F64*EXP(-(E64-D64)*Inputs!$C$8/Inputs!$C$6))*100)</f>
        <v>95.9667576698329</v>
      </c>
      <c r="H64" s="24" t="n">
        <f aca="false">ROUNDUP(E64/Inputs!$C$15,0)</f>
        <v>3</v>
      </c>
      <c r="I64" s="23" t="n">
        <f aca="false">IF(E64=0,0,D64/E64*100)</f>
        <v>17.1111111111111</v>
      </c>
      <c r="J64" s="25" t="str">
        <f aca="false">IF(G64&gt;=Inputs!$C$7,"GREEN",IF(G64&gt;=Inputs!$C$7-10,"AMBER","RED"))</f>
        <v>GREEN</v>
      </c>
      <c r="K64" s="20" t="n">
        <v>4.1</v>
      </c>
      <c r="L64" s="20" t="n">
        <v>6.9</v>
      </c>
    </row>
    <row r="65" customFormat="false" ht="15" hidden="false" customHeight="true" outlineLevel="0" collapsed="false">
      <c r="A65" s="26" t="s">
        <v>67</v>
      </c>
      <c r="B65" s="26" t="s">
        <v>52</v>
      </c>
      <c r="C65" s="26" t="n">
        <v>5.9</v>
      </c>
      <c r="D65" s="21" t="n">
        <f aca="false">C65*Inputs!$C$6/3600</f>
        <v>0.367111111111111</v>
      </c>
      <c r="E65" s="7" t="n">
        <v>2</v>
      </c>
      <c r="F65" s="22" t="n">
        <f aca="false">IF(E65&lt;=D65,"Understaffed",1-POISSON(E65-1,D65,1))</f>
        <v>0.0529574691688954</v>
      </c>
      <c r="G65" s="23" t="n">
        <f aca="false">IF(E65&lt;=D65,0,(1-F65*EXP(-(E65-D65)*Inputs!$C$8/Inputs!$C$6))*100)</f>
        <v>95.4226950818606</v>
      </c>
      <c r="H65" s="24" t="n">
        <f aca="false">ROUNDUP(E65/Inputs!$C$15,0)</f>
        <v>3</v>
      </c>
      <c r="I65" s="23" t="n">
        <f aca="false">IF(E65=0,0,D65/E65*100)</f>
        <v>18.3555555555556</v>
      </c>
      <c r="J65" s="25" t="str">
        <f aca="false">IF(G65&gt;=Inputs!$C$7,"GREEN",IF(G65&gt;=Inputs!$C$7-10,"AMBER","RED"))</f>
        <v>GREEN</v>
      </c>
      <c r="K65" s="26" t="n">
        <v>4.6</v>
      </c>
      <c r="L65" s="26" t="n">
        <v>7.2</v>
      </c>
    </row>
    <row r="66" customFormat="false" ht="15" hidden="false" customHeight="true" outlineLevel="0" collapsed="false">
      <c r="A66" s="20" t="s">
        <v>67</v>
      </c>
      <c r="B66" s="20" t="s">
        <v>53</v>
      </c>
      <c r="C66" s="20" t="n">
        <v>5.7</v>
      </c>
      <c r="D66" s="21" t="n">
        <f aca="false">C66*Inputs!$C$6/3600</f>
        <v>0.354666666666667</v>
      </c>
      <c r="E66" s="7" t="n">
        <v>2</v>
      </c>
      <c r="F66" s="22" t="n">
        <f aca="false">IF(E66&lt;=D66,"Understaffed",1-POISSON(E66-1,D66,1))</f>
        <v>0.0498270373941074</v>
      </c>
      <c r="G66" s="23" t="n">
        <f aca="false">IF(E66&lt;=D66,0,(1-F66*EXP(-(E66-D66)*Inputs!$C$8/Inputs!$C$6))*100)</f>
        <v>95.6980521807102</v>
      </c>
      <c r="H66" s="24" t="n">
        <f aca="false">ROUNDUP(E66/Inputs!$C$15,0)</f>
        <v>3</v>
      </c>
      <c r="I66" s="23" t="n">
        <f aca="false">IF(E66=0,0,D66/E66*100)</f>
        <v>17.7333333333333</v>
      </c>
      <c r="J66" s="25" t="str">
        <f aca="false">IF(G66&gt;=Inputs!$C$7,"GREEN",IF(G66&gt;=Inputs!$C$7-10,"AMBER","RED"))</f>
        <v>GREEN</v>
      </c>
      <c r="K66" s="20" t="n">
        <v>4.5</v>
      </c>
      <c r="L66" s="20" t="n">
        <v>6.9</v>
      </c>
    </row>
    <row r="67" customFormat="false" ht="15" hidden="false" customHeight="true" outlineLevel="0" collapsed="false">
      <c r="A67" s="26" t="s">
        <v>67</v>
      </c>
      <c r="B67" s="26" t="s">
        <v>54</v>
      </c>
      <c r="C67" s="26" t="n">
        <v>6.4</v>
      </c>
      <c r="D67" s="21" t="n">
        <f aca="false">C67*Inputs!$C$6/3600</f>
        <v>0.398222222222222</v>
      </c>
      <c r="E67" s="7" t="n">
        <v>2</v>
      </c>
      <c r="F67" s="22" t="n">
        <f aca="false">IF(E67&lt;=D67,"Understaffed",1-POISSON(E67-1,D67,1))</f>
        <v>0.0610759000851505</v>
      </c>
      <c r="G67" s="23" t="n">
        <f aca="false">IF(E67&lt;=D67,0,(1-F67*EXP(-(E67-D67)*Inputs!$C$8/Inputs!$C$6))*100)</f>
        <v>94.7063055365373</v>
      </c>
      <c r="H67" s="24" t="n">
        <f aca="false">ROUNDUP(E67/Inputs!$C$15,0)</f>
        <v>3</v>
      </c>
      <c r="I67" s="23" t="n">
        <f aca="false">IF(E67=0,0,D67/E67*100)</f>
        <v>19.9111111111111</v>
      </c>
      <c r="J67" s="25" t="str">
        <f aca="false">IF(G67&gt;=Inputs!$C$7,"GREEN",IF(G67&gt;=Inputs!$C$7-10,"AMBER","RED"))</f>
        <v>GREEN</v>
      </c>
      <c r="K67" s="26" t="n">
        <v>5</v>
      </c>
      <c r="L67" s="26" t="n">
        <v>7.7</v>
      </c>
    </row>
    <row r="68" customFormat="false" ht="15" hidden="false" customHeight="true" outlineLevel="0" collapsed="false">
      <c r="A68" s="20" t="s">
        <v>67</v>
      </c>
      <c r="B68" s="20" t="s">
        <v>55</v>
      </c>
      <c r="C68" s="20" t="n">
        <v>5.9</v>
      </c>
      <c r="D68" s="21" t="n">
        <f aca="false">C68*Inputs!$C$6/3600</f>
        <v>0.367111111111111</v>
      </c>
      <c r="E68" s="7" t="n">
        <v>2</v>
      </c>
      <c r="F68" s="22" t="n">
        <f aca="false">IF(E68&lt;=D68,"Understaffed",1-POISSON(E68-1,D68,1))</f>
        <v>0.0529574691688954</v>
      </c>
      <c r="G68" s="23" t="n">
        <f aca="false">IF(E68&lt;=D68,0,(1-F68*EXP(-(E68-D68)*Inputs!$C$8/Inputs!$C$6))*100)</f>
        <v>95.4226950818606</v>
      </c>
      <c r="H68" s="24" t="n">
        <f aca="false">ROUNDUP(E68/Inputs!$C$15,0)</f>
        <v>3</v>
      </c>
      <c r="I68" s="23" t="n">
        <f aca="false">IF(E68=0,0,D68/E68*100)</f>
        <v>18.3555555555556</v>
      </c>
      <c r="J68" s="25" t="str">
        <f aca="false">IF(G68&gt;=Inputs!$C$7,"GREEN",IF(G68&gt;=Inputs!$C$7-10,"AMBER","RED"))</f>
        <v>GREEN</v>
      </c>
      <c r="K68" s="20" t="n">
        <v>4.6</v>
      </c>
      <c r="L68" s="20" t="n">
        <v>7.2</v>
      </c>
    </row>
    <row r="69" customFormat="false" ht="15" hidden="false" customHeight="true" outlineLevel="0" collapsed="false">
      <c r="A69" s="26" t="s">
        <v>67</v>
      </c>
      <c r="B69" s="26" t="s">
        <v>56</v>
      </c>
      <c r="C69" s="26" t="n">
        <v>6.4</v>
      </c>
      <c r="D69" s="21" t="n">
        <f aca="false">C69*Inputs!$C$6/3600</f>
        <v>0.398222222222222</v>
      </c>
      <c r="E69" s="7" t="n">
        <v>2</v>
      </c>
      <c r="F69" s="22" t="n">
        <f aca="false">IF(E69&lt;=D69,"Understaffed",1-POISSON(E69-1,D69,1))</f>
        <v>0.0610759000851505</v>
      </c>
      <c r="G69" s="23" t="n">
        <f aca="false">IF(E69&lt;=D69,0,(1-F69*EXP(-(E69-D69)*Inputs!$C$8/Inputs!$C$6))*100)</f>
        <v>94.7063055365373</v>
      </c>
      <c r="H69" s="24" t="n">
        <f aca="false">ROUNDUP(E69/Inputs!$C$15,0)</f>
        <v>3</v>
      </c>
      <c r="I69" s="23" t="n">
        <f aca="false">IF(E69=0,0,D69/E69*100)</f>
        <v>19.9111111111111</v>
      </c>
      <c r="J69" s="25" t="str">
        <f aca="false">IF(G69&gt;=Inputs!$C$7,"GREEN",IF(G69&gt;=Inputs!$C$7-10,"AMBER","RED"))</f>
        <v>GREEN</v>
      </c>
      <c r="K69" s="26" t="n">
        <v>5</v>
      </c>
      <c r="L69" s="26" t="n">
        <v>7.7</v>
      </c>
    </row>
    <row r="70" customFormat="false" ht="15" hidden="false" customHeight="true" outlineLevel="0" collapsed="false">
      <c r="A70" s="20" t="s">
        <v>67</v>
      </c>
      <c r="B70" s="20" t="s">
        <v>57</v>
      </c>
      <c r="C70" s="20" t="n">
        <v>5.4</v>
      </c>
      <c r="D70" s="21" t="n">
        <f aca="false">C70*Inputs!$C$6/3600</f>
        <v>0.336</v>
      </c>
      <c r="E70" s="7" t="n">
        <v>2</v>
      </c>
      <c r="F70" s="22" t="n">
        <f aca="false">IF(E70&lt;=D70,"Understaffed",1-POISSON(E70-1,D70,1))</f>
        <v>0.0452635306297475</v>
      </c>
      <c r="G70" s="23" t="n">
        <f aca="false">IF(E70&lt;=D70,0,(1-F70*EXP(-(E70-D70)*Inputs!$C$8/Inputs!$C$6))*100)</f>
        <v>96.0985623113331</v>
      </c>
      <c r="H70" s="24" t="n">
        <f aca="false">ROUNDUP(E70/Inputs!$C$15,0)</f>
        <v>3</v>
      </c>
      <c r="I70" s="23" t="n">
        <f aca="false">IF(E70=0,0,D70/E70*100)</f>
        <v>16.8</v>
      </c>
      <c r="J70" s="25" t="str">
        <f aca="false">IF(G70&gt;=Inputs!$C$7,"GREEN",IF(G70&gt;=Inputs!$C$7-10,"AMBER","RED"))</f>
        <v>GREEN</v>
      </c>
      <c r="K70" s="20" t="n">
        <v>4.2</v>
      </c>
      <c r="L70" s="20" t="n">
        <v>6.5</v>
      </c>
    </row>
    <row r="71" customFormat="false" ht="15" hidden="false" customHeight="true" outlineLevel="0" collapsed="false">
      <c r="A71" s="26" t="s">
        <v>67</v>
      </c>
      <c r="B71" s="26" t="s">
        <v>58</v>
      </c>
      <c r="C71" s="26" t="n">
        <v>5.8</v>
      </c>
      <c r="D71" s="21" t="n">
        <f aca="false">C71*Inputs!$C$6/3600</f>
        <v>0.360888888888889</v>
      </c>
      <c r="E71" s="7" t="n">
        <v>2</v>
      </c>
      <c r="F71" s="22" t="n">
        <f aca="false">IF(E71&lt;=D71,"Understaffed",1-POISSON(E71-1,D71,1))</f>
        <v>0.0513836292339926</v>
      </c>
      <c r="G71" s="23" t="n">
        <f aca="false">IF(E71&lt;=D71,0,(1-F71*EXP(-(E71-D71)*Inputs!$C$8/Inputs!$C$6))*100)</f>
        <v>95.5611944277516</v>
      </c>
      <c r="H71" s="24" t="n">
        <f aca="false">ROUNDUP(E71/Inputs!$C$15,0)</f>
        <v>3</v>
      </c>
      <c r="I71" s="23" t="n">
        <f aca="false">IF(E71=0,0,D71/E71*100)</f>
        <v>18.0444444444444</v>
      </c>
      <c r="J71" s="25" t="str">
        <f aca="false">IF(G71&gt;=Inputs!$C$7,"GREEN",IF(G71&gt;=Inputs!$C$7-10,"AMBER","RED"))</f>
        <v>GREEN</v>
      </c>
      <c r="K71" s="26" t="n">
        <v>4.5</v>
      </c>
      <c r="L71" s="26" t="n">
        <v>7</v>
      </c>
    </row>
    <row r="72" customFormat="false" ht="15" hidden="false" customHeight="true" outlineLevel="0" collapsed="false">
      <c r="A72" s="20" t="s">
        <v>67</v>
      </c>
      <c r="B72" s="20" t="s">
        <v>59</v>
      </c>
      <c r="C72" s="20" t="n">
        <v>6.2</v>
      </c>
      <c r="D72" s="21" t="n">
        <f aca="false">C72*Inputs!$C$6/3600</f>
        <v>0.385777777777778</v>
      </c>
      <c r="E72" s="7" t="n">
        <v>2</v>
      </c>
      <c r="F72" s="22" t="n">
        <f aca="false">IF(E72&lt;=D72,"Understaffed",1-POISSON(E72-1,D72,1))</f>
        <v>0.0577797525096471</v>
      </c>
      <c r="G72" s="23" t="n">
        <f aca="false">IF(E72&lt;=D72,0,(1-F72*EXP(-(E72-D72)*Inputs!$C$8/Inputs!$C$6))*100)</f>
        <v>94.9975572927541</v>
      </c>
      <c r="H72" s="24" t="n">
        <f aca="false">ROUNDUP(E72/Inputs!$C$15,0)</f>
        <v>3</v>
      </c>
      <c r="I72" s="23" t="n">
        <f aca="false">IF(E72=0,0,D72/E72*100)</f>
        <v>19.2888888888889</v>
      </c>
      <c r="J72" s="25" t="str">
        <f aca="false">IF(G72&gt;=Inputs!$C$7,"GREEN",IF(G72&gt;=Inputs!$C$7-10,"AMBER","RED"))</f>
        <v>GREEN</v>
      </c>
      <c r="K72" s="20" t="n">
        <v>4.8</v>
      </c>
      <c r="L72" s="20" t="n">
        <v>7.4</v>
      </c>
    </row>
    <row r="73" customFormat="false" ht="15" hidden="false" customHeight="true" outlineLevel="0" collapsed="false">
      <c r="A73" s="26" t="s">
        <v>67</v>
      </c>
      <c r="B73" s="26" t="s">
        <v>60</v>
      </c>
      <c r="C73" s="26" t="n">
        <v>6.3</v>
      </c>
      <c r="D73" s="21" t="n">
        <f aca="false">C73*Inputs!$C$6/3600</f>
        <v>0.392</v>
      </c>
      <c r="E73" s="7" t="n">
        <v>2</v>
      </c>
      <c r="F73" s="22" t="n">
        <f aca="false">IF(E73&lt;=D73,"Understaffed",1-POISSON(E73-1,D73,1))</f>
        <v>0.0594198733668085</v>
      </c>
      <c r="G73" s="23" t="n">
        <f aca="false">IF(E73&lt;=D73,0,(1-F73*EXP(-(E73-D73)*Inputs!$C$8/Inputs!$C$6))*100)</f>
        <v>94.8527004531687</v>
      </c>
      <c r="H73" s="24" t="n">
        <f aca="false">ROUNDUP(E73/Inputs!$C$15,0)</f>
        <v>3</v>
      </c>
      <c r="I73" s="23" t="n">
        <f aca="false">IF(E73=0,0,D73/E73*100)</f>
        <v>19.6</v>
      </c>
      <c r="J73" s="25" t="str">
        <f aca="false">IF(G73&gt;=Inputs!$C$7,"GREEN",IF(G73&gt;=Inputs!$C$7-10,"AMBER","RED"))</f>
        <v>GREEN</v>
      </c>
      <c r="K73" s="26" t="n">
        <v>4.9</v>
      </c>
      <c r="L73" s="26" t="n">
        <v>7.6</v>
      </c>
    </row>
    <row r="74" customFormat="false" ht="15" hidden="false" customHeight="true" outlineLevel="0" collapsed="false">
      <c r="A74" s="20" t="s">
        <v>68</v>
      </c>
      <c r="B74" s="20" t="s">
        <v>52</v>
      </c>
      <c r="C74" s="20" t="n">
        <v>5.2</v>
      </c>
      <c r="D74" s="21" t="n">
        <f aca="false">C74*Inputs!$C$6/3600</f>
        <v>0.323555555555556</v>
      </c>
      <c r="E74" s="7" t="n">
        <v>2</v>
      </c>
      <c r="F74" s="22" t="n">
        <f aca="false">IF(E74&lt;=D74,"Understaffed",1-POISSON(E74-1,D74,1))</f>
        <v>0.0423125793600404</v>
      </c>
      <c r="G74" s="23" t="n">
        <f aca="false">IF(E74&lt;=D74,0,(1-F74*EXP(-(E74-D74)*Inputs!$C$8/Inputs!$C$6))*100)</f>
        <v>96.3569662090607</v>
      </c>
      <c r="H74" s="24" t="n">
        <f aca="false">ROUNDUP(E74/Inputs!$C$15,0)</f>
        <v>3</v>
      </c>
      <c r="I74" s="23" t="n">
        <f aca="false">IF(E74=0,0,D74/E74*100)</f>
        <v>16.1777777777778</v>
      </c>
      <c r="J74" s="25" t="str">
        <f aca="false">IF(G74&gt;=Inputs!$C$7,"GREEN",IF(G74&gt;=Inputs!$C$7-10,"AMBER","RED"))</f>
        <v>GREEN</v>
      </c>
      <c r="K74" s="20" t="n">
        <v>3.9</v>
      </c>
      <c r="L74" s="20" t="n">
        <v>6.4</v>
      </c>
    </row>
    <row r="75" customFormat="false" ht="15" hidden="false" customHeight="true" outlineLevel="0" collapsed="false">
      <c r="A75" s="26" t="s">
        <v>68</v>
      </c>
      <c r="B75" s="26" t="s">
        <v>53</v>
      </c>
      <c r="C75" s="26" t="n">
        <v>5</v>
      </c>
      <c r="D75" s="21" t="n">
        <f aca="false">C75*Inputs!$C$6/3600</f>
        <v>0.311111111111111</v>
      </c>
      <c r="E75" s="7" t="n">
        <v>2</v>
      </c>
      <c r="F75" s="22" t="n">
        <f aca="false">IF(E75&lt;=D75,"Understaffed",1-POISSON(E75-1,D75,1))</f>
        <v>0.0394374311863616</v>
      </c>
      <c r="G75" s="23" t="n">
        <f aca="false">IF(E75&lt;=D75,0,(1-F75*EXP(-(E75-D75)*Inputs!$C$8/Inputs!$C$6))*100)</f>
        <v>96.6082817491731</v>
      </c>
      <c r="H75" s="24" t="n">
        <f aca="false">ROUNDUP(E75/Inputs!$C$15,0)</f>
        <v>3</v>
      </c>
      <c r="I75" s="23" t="n">
        <f aca="false">IF(E75=0,0,D75/E75*100)</f>
        <v>15.5555555555556</v>
      </c>
      <c r="J75" s="25" t="str">
        <f aca="false">IF(G75&gt;=Inputs!$C$7,"GREEN",IF(G75&gt;=Inputs!$C$7-10,"AMBER","RED"))</f>
        <v>GREEN</v>
      </c>
      <c r="K75" s="26" t="n">
        <v>3.7</v>
      </c>
      <c r="L75" s="26" t="n">
        <v>6.1</v>
      </c>
    </row>
    <row r="76" customFormat="false" ht="15" hidden="false" customHeight="true" outlineLevel="0" collapsed="false">
      <c r="A76" s="20" t="s">
        <v>68</v>
      </c>
      <c r="B76" s="20" t="s">
        <v>54</v>
      </c>
      <c r="C76" s="20" t="n">
        <v>5.5</v>
      </c>
      <c r="D76" s="21" t="n">
        <f aca="false">C76*Inputs!$C$6/3600</f>
        <v>0.342222222222222</v>
      </c>
      <c r="E76" s="7" t="n">
        <v>2</v>
      </c>
      <c r="F76" s="22" t="n">
        <f aca="false">IF(E76&lt;=D76,"Understaffed",1-POISSON(E76-1,D76,1))</f>
        <v>0.0467667072826541</v>
      </c>
      <c r="G76" s="23" t="n">
        <f aca="false">IF(E76&lt;=D76,0,(1-F76*EXP(-(E76-D76)*Inputs!$C$8/Inputs!$C$6))*100)</f>
        <v>95.9667576698329</v>
      </c>
      <c r="H76" s="24" t="n">
        <f aca="false">ROUNDUP(E76/Inputs!$C$15,0)</f>
        <v>3</v>
      </c>
      <c r="I76" s="23" t="n">
        <f aca="false">IF(E76=0,0,D76/E76*100)</f>
        <v>17.1111111111111</v>
      </c>
      <c r="J76" s="25" t="str">
        <f aca="false">IF(G76&gt;=Inputs!$C$7,"GREEN",IF(G76&gt;=Inputs!$C$7-10,"AMBER","RED"))</f>
        <v>GREEN</v>
      </c>
      <c r="K76" s="20" t="n">
        <v>4.1</v>
      </c>
      <c r="L76" s="20" t="n">
        <v>6.8</v>
      </c>
    </row>
    <row r="77" customFormat="false" ht="15" hidden="false" customHeight="true" outlineLevel="0" collapsed="false">
      <c r="A77" s="26" t="s">
        <v>68</v>
      </c>
      <c r="B77" s="26" t="s">
        <v>55</v>
      </c>
      <c r="C77" s="26" t="n">
        <v>5.2</v>
      </c>
      <c r="D77" s="21" t="n">
        <f aca="false">C77*Inputs!$C$6/3600</f>
        <v>0.323555555555556</v>
      </c>
      <c r="E77" s="7" t="n">
        <v>2</v>
      </c>
      <c r="F77" s="22" t="n">
        <f aca="false">IF(E77&lt;=D77,"Understaffed",1-POISSON(E77-1,D77,1))</f>
        <v>0.0423125793600404</v>
      </c>
      <c r="G77" s="23" t="n">
        <f aca="false">IF(E77&lt;=D77,0,(1-F77*EXP(-(E77-D77)*Inputs!$C$8/Inputs!$C$6))*100)</f>
        <v>96.3569662090607</v>
      </c>
      <c r="H77" s="24" t="n">
        <f aca="false">ROUNDUP(E77/Inputs!$C$15,0)</f>
        <v>3</v>
      </c>
      <c r="I77" s="23" t="n">
        <f aca="false">IF(E77=0,0,D77/E77*100)</f>
        <v>16.1777777777778</v>
      </c>
      <c r="J77" s="25" t="str">
        <f aca="false">IF(G77&gt;=Inputs!$C$7,"GREEN",IF(G77&gt;=Inputs!$C$7-10,"AMBER","RED"))</f>
        <v>GREEN</v>
      </c>
      <c r="K77" s="26" t="n">
        <v>3.9</v>
      </c>
      <c r="L77" s="26" t="n">
        <v>6.4</v>
      </c>
    </row>
    <row r="78" customFormat="false" ht="15" hidden="false" customHeight="true" outlineLevel="0" collapsed="false">
      <c r="A78" s="20" t="s">
        <v>68</v>
      </c>
      <c r="B78" s="20" t="s">
        <v>56</v>
      </c>
      <c r="C78" s="20" t="n">
        <v>5.6</v>
      </c>
      <c r="D78" s="21" t="n">
        <f aca="false">C78*Inputs!$C$6/3600</f>
        <v>0.348444444444444</v>
      </c>
      <c r="E78" s="7" t="n">
        <v>2</v>
      </c>
      <c r="F78" s="22" t="n">
        <f aca="false">IF(E78&lt;=D78,"Understaffed",1-POISSON(E78-1,D78,1))</f>
        <v>0.048287970274747</v>
      </c>
      <c r="G78" s="23" t="n">
        <f aca="false">IF(E78&lt;=D78,0,(1-F78*EXP(-(E78-D78)*Inputs!$C$8/Inputs!$C$6))*100)</f>
        <v>95.8332470786567</v>
      </c>
      <c r="H78" s="24" t="n">
        <f aca="false">ROUNDUP(E78/Inputs!$C$15,0)</f>
        <v>3</v>
      </c>
      <c r="I78" s="23" t="n">
        <f aca="false">IF(E78=0,0,D78/E78*100)</f>
        <v>17.4222222222222</v>
      </c>
      <c r="J78" s="25" t="str">
        <f aca="false">IF(G78&gt;=Inputs!$C$7,"GREEN",IF(G78&gt;=Inputs!$C$7-10,"AMBER","RED"))</f>
        <v>GREEN</v>
      </c>
      <c r="K78" s="20" t="n">
        <v>4.2</v>
      </c>
      <c r="L78" s="20" t="n">
        <v>6.9</v>
      </c>
    </row>
    <row r="79" customFormat="false" ht="15" hidden="false" customHeight="true" outlineLevel="0" collapsed="false">
      <c r="A79" s="26" t="s">
        <v>68</v>
      </c>
      <c r="B79" s="26" t="s">
        <v>57</v>
      </c>
      <c r="C79" s="26" t="n">
        <v>4.7</v>
      </c>
      <c r="D79" s="21" t="n">
        <f aca="false">C79*Inputs!$C$6/3600</f>
        <v>0.292444444444444</v>
      </c>
      <c r="E79" s="7" t="n">
        <v>2</v>
      </c>
      <c r="F79" s="22" t="n">
        <f aca="false">IF(E79&lt;=D79,"Understaffed",1-POISSON(E79-1,D79,1))</f>
        <v>0.0352720176833574</v>
      </c>
      <c r="G79" s="23" t="n">
        <f aca="false">IF(E79&lt;=D79,0,(1-F79*EXP(-(E79-D79)*Inputs!$C$8/Inputs!$C$6))*100)</f>
        <v>96.9715693775827</v>
      </c>
      <c r="H79" s="24" t="n">
        <f aca="false">ROUNDUP(E79/Inputs!$C$15,0)</f>
        <v>3</v>
      </c>
      <c r="I79" s="23" t="n">
        <f aca="false">IF(E79=0,0,D79/E79*100)</f>
        <v>14.6222222222222</v>
      </c>
      <c r="J79" s="25" t="str">
        <f aca="false">IF(G79&gt;=Inputs!$C$7,"GREEN",IF(G79&gt;=Inputs!$C$7-10,"AMBER","RED"))</f>
        <v>GREEN</v>
      </c>
      <c r="K79" s="26" t="n">
        <v>3.5</v>
      </c>
      <c r="L79" s="26" t="n">
        <v>5.8</v>
      </c>
    </row>
    <row r="80" customFormat="false" ht="15" hidden="false" customHeight="true" outlineLevel="0" collapsed="false">
      <c r="A80" s="20" t="s">
        <v>68</v>
      </c>
      <c r="B80" s="20" t="s">
        <v>58</v>
      </c>
      <c r="C80" s="20" t="n">
        <v>5</v>
      </c>
      <c r="D80" s="21" t="n">
        <f aca="false">C80*Inputs!$C$6/3600</f>
        <v>0.311111111111111</v>
      </c>
      <c r="E80" s="7" t="n">
        <v>2</v>
      </c>
      <c r="F80" s="22" t="n">
        <f aca="false">IF(E80&lt;=D80,"Understaffed",1-POISSON(E80-1,D80,1))</f>
        <v>0.0394374311863616</v>
      </c>
      <c r="G80" s="23" t="n">
        <f aca="false">IF(E80&lt;=D80,0,(1-F80*EXP(-(E80-D80)*Inputs!$C$8/Inputs!$C$6))*100)</f>
        <v>96.6082817491731</v>
      </c>
      <c r="H80" s="24" t="n">
        <f aca="false">ROUNDUP(E80/Inputs!$C$15,0)</f>
        <v>3</v>
      </c>
      <c r="I80" s="23" t="n">
        <f aca="false">IF(E80=0,0,D80/E80*100)</f>
        <v>15.5555555555556</v>
      </c>
      <c r="J80" s="25" t="str">
        <f aca="false">IF(G80&gt;=Inputs!$C$7,"GREEN",IF(G80&gt;=Inputs!$C$7-10,"AMBER","RED"))</f>
        <v>GREEN</v>
      </c>
      <c r="K80" s="20" t="n">
        <v>3.7</v>
      </c>
      <c r="L80" s="20" t="n">
        <v>6.2</v>
      </c>
    </row>
    <row r="81" customFormat="false" ht="15" hidden="false" customHeight="true" outlineLevel="0" collapsed="false">
      <c r="A81" s="26" t="s">
        <v>68</v>
      </c>
      <c r="B81" s="26" t="s">
        <v>59</v>
      </c>
      <c r="C81" s="26" t="n">
        <v>5.4</v>
      </c>
      <c r="D81" s="21" t="n">
        <f aca="false">C81*Inputs!$C$6/3600</f>
        <v>0.336</v>
      </c>
      <c r="E81" s="7" t="n">
        <v>2</v>
      </c>
      <c r="F81" s="22" t="n">
        <f aca="false">IF(E81&lt;=D81,"Understaffed",1-POISSON(E81-1,D81,1))</f>
        <v>0.0452635306297475</v>
      </c>
      <c r="G81" s="23" t="n">
        <f aca="false">IF(E81&lt;=D81,0,(1-F81*EXP(-(E81-D81)*Inputs!$C$8/Inputs!$C$6))*100)</f>
        <v>96.0985623113331</v>
      </c>
      <c r="H81" s="24" t="n">
        <f aca="false">ROUNDUP(E81/Inputs!$C$15,0)</f>
        <v>3</v>
      </c>
      <c r="I81" s="23" t="n">
        <f aca="false">IF(E81=0,0,D81/E81*100)</f>
        <v>16.8</v>
      </c>
      <c r="J81" s="25" t="str">
        <f aca="false">IF(G81&gt;=Inputs!$C$7,"GREEN",IF(G81&gt;=Inputs!$C$7-10,"AMBER","RED"))</f>
        <v>GREEN</v>
      </c>
      <c r="K81" s="26" t="n">
        <v>4</v>
      </c>
      <c r="L81" s="26" t="n">
        <v>6.6</v>
      </c>
    </row>
    <row r="82" customFormat="false" ht="15" hidden="false" customHeight="true" outlineLevel="0" collapsed="false">
      <c r="A82" s="20" t="s">
        <v>68</v>
      </c>
      <c r="B82" s="20" t="s">
        <v>60</v>
      </c>
      <c r="C82" s="20" t="n">
        <v>5.5</v>
      </c>
      <c r="D82" s="21" t="n">
        <f aca="false">C82*Inputs!$C$6/3600</f>
        <v>0.342222222222222</v>
      </c>
      <c r="E82" s="7" t="n">
        <v>2</v>
      </c>
      <c r="F82" s="22" t="n">
        <f aca="false">IF(E82&lt;=D82,"Understaffed",1-POISSON(E82-1,D82,1))</f>
        <v>0.0467667072826541</v>
      </c>
      <c r="G82" s="23" t="n">
        <f aca="false">IF(E82&lt;=D82,0,(1-F82*EXP(-(E82-D82)*Inputs!$C$8/Inputs!$C$6))*100)</f>
        <v>95.9667576698329</v>
      </c>
      <c r="H82" s="24" t="n">
        <f aca="false">ROUNDUP(E82/Inputs!$C$15,0)</f>
        <v>3</v>
      </c>
      <c r="I82" s="23" t="n">
        <f aca="false">IF(E82=0,0,D82/E82*100)</f>
        <v>17.1111111111111</v>
      </c>
      <c r="J82" s="25" t="str">
        <f aca="false">IF(G82&gt;=Inputs!$C$7,"GREEN",IF(G82&gt;=Inputs!$C$7-10,"AMBER","RED"))</f>
        <v>GREEN</v>
      </c>
      <c r="K82" s="20" t="n">
        <v>4.1</v>
      </c>
      <c r="L82" s="20" t="n">
        <v>6.8</v>
      </c>
    </row>
    <row r="83" customFormat="false" ht="15" hidden="false" customHeight="true" outlineLevel="0" collapsed="false">
      <c r="A83" s="26" t="s">
        <v>69</v>
      </c>
      <c r="B83" s="26" t="s">
        <v>52</v>
      </c>
      <c r="C83" s="26" t="n">
        <v>5.8</v>
      </c>
      <c r="D83" s="21" t="n">
        <f aca="false">C83*Inputs!$C$6/3600</f>
        <v>0.360888888888889</v>
      </c>
      <c r="E83" s="7" t="n">
        <v>2</v>
      </c>
      <c r="F83" s="22" t="n">
        <f aca="false">IF(E83&lt;=D83,"Understaffed",1-POISSON(E83-1,D83,1))</f>
        <v>0.0513836292339926</v>
      </c>
      <c r="G83" s="23" t="n">
        <f aca="false">IF(E83&lt;=D83,0,(1-F83*EXP(-(E83-D83)*Inputs!$C$8/Inputs!$C$6))*100)</f>
        <v>95.5611944277516</v>
      </c>
      <c r="H83" s="24" t="n">
        <f aca="false">ROUNDUP(E83/Inputs!$C$15,0)</f>
        <v>3</v>
      </c>
      <c r="I83" s="23" t="n">
        <f aca="false">IF(E83=0,0,D83/E83*100)</f>
        <v>18.0444444444444</v>
      </c>
      <c r="J83" s="25" t="str">
        <f aca="false">IF(G83&gt;=Inputs!$C$7,"GREEN",IF(G83&gt;=Inputs!$C$7-10,"AMBER","RED"))</f>
        <v>GREEN</v>
      </c>
      <c r="K83" s="26" t="n">
        <v>4.5</v>
      </c>
      <c r="L83" s="26" t="n">
        <v>7.2</v>
      </c>
    </row>
    <row r="84" customFormat="false" ht="15" hidden="false" customHeight="true" outlineLevel="0" collapsed="false">
      <c r="A84" s="20" t="s">
        <v>69</v>
      </c>
      <c r="B84" s="20" t="s">
        <v>53</v>
      </c>
      <c r="C84" s="20" t="n">
        <v>5.6</v>
      </c>
      <c r="D84" s="21" t="n">
        <f aca="false">C84*Inputs!$C$6/3600</f>
        <v>0.348444444444444</v>
      </c>
      <c r="E84" s="7" t="n">
        <v>2</v>
      </c>
      <c r="F84" s="22" t="n">
        <f aca="false">IF(E84&lt;=D84,"Understaffed",1-POISSON(E84-1,D84,1))</f>
        <v>0.048287970274747</v>
      </c>
      <c r="G84" s="23" t="n">
        <f aca="false">IF(E84&lt;=D84,0,(1-F84*EXP(-(E84-D84)*Inputs!$C$8/Inputs!$C$6))*100)</f>
        <v>95.8332470786567</v>
      </c>
      <c r="H84" s="24" t="n">
        <f aca="false">ROUNDUP(E84/Inputs!$C$15,0)</f>
        <v>3</v>
      </c>
      <c r="I84" s="23" t="n">
        <f aca="false">IF(E84=0,0,D84/E84*100)</f>
        <v>17.4222222222222</v>
      </c>
      <c r="J84" s="25" t="str">
        <f aca="false">IF(G84&gt;=Inputs!$C$7,"GREEN",IF(G84&gt;=Inputs!$C$7-10,"AMBER","RED"))</f>
        <v>GREEN</v>
      </c>
      <c r="K84" s="20" t="n">
        <v>4.3</v>
      </c>
      <c r="L84" s="20" t="n">
        <v>6.9</v>
      </c>
    </row>
    <row r="85" customFormat="false" ht="15" hidden="false" customHeight="true" outlineLevel="0" collapsed="false">
      <c r="A85" s="26" t="s">
        <v>69</v>
      </c>
      <c r="B85" s="26" t="s">
        <v>54</v>
      </c>
      <c r="C85" s="26" t="n">
        <v>6.3</v>
      </c>
      <c r="D85" s="21" t="n">
        <f aca="false">C85*Inputs!$C$6/3600</f>
        <v>0.392</v>
      </c>
      <c r="E85" s="7" t="n">
        <v>2</v>
      </c>
      <c r="F85" s="22" t="n">
        <f aca="false">IF(E85&lt;=D85,"Understaffed",1-POISSON(E85-1,D85,1))</f>
        <v>0.0594198733668085</v>
      </c>
      <c r="G85" s="23" t="n">
        <f aca="false">IF(E85&lt;=D85,0,(1-F85*EXP(-(E85-D85)*Inputs!$C$8/Inputs!$C$6))*100)</f>
        <v>94.8527004531687</v>
      </c>
      <c r="H85" s="24" t="n">
        <f aca="false">ROUNDUP(E85/Inputs!$C$15,0)</f>
        <v>3</v>
      </c>
      <c r="I85" s="23" t="n">
        <f aca="false">IF(E85=0,0,D85/E85*100)</f>
        <v>19.6</v>
      </c>
      <c r="J85" s="25" t="str">
        <f aca="false">IF(G85&gt;=Inputs!$C$7,"GREEN",IF(G85&gt;=Inputs!$C$7-10,"AMBER","RED"))</f>
        <v>GREEN</v>
      </c>
      <c r="K85" s="26" t="n">
        <v>4.8</v>
      </c>
      <c r="L85" s="26" t="n">
        <v>7.7</v>
      </c>
    </row>
    <row r="86" customFormat="false" ht="15" hidden="false" customHeight="true" outlineLevel="0" collapsed="false">
      <c r="A86" s="20" t="s">
        <v>69</v>
      </c>
      <c r="B86" s="20" t="s">
        <v>55</v>
      </c>
      <c r="C86" s="20" t="n">
        <v>5.8</v>
      </c>
      <c r="D86" s="21" t="n">
        <f aca="false">C86*Inputs!$C$6/3600</f>
        <v>0.360888888888889</v>
      </c>
      <c r="E86" s="7" t="n">
        <v>2</v>
      </c>
      <c r="F86" s="22" t="n">
        <f aca="false">IF(E86&lt;=D86,"Understaffed",1-POISSON(E86-1,D86,1))</f>
        <v>0.0513836292339926</v>
      </c>
      <c r="G86" s="23" t="n">
        <f aca="false">IF(E86&lt;=D86,0,(1-F86*EXP(-(E86-D86)*Inputs!$C$8/Inputs!$C$6))*100)</f>
        <v>95.5611944277516</v>
      </c>
      <c r="H86" s="24" t="n">
        <f aca="false">ROUNDUP(E86/Inputs!$C$15,0)</f>
        <v>3</v>
      </c>
      <c r="I86" s="23" t="n">
        <f aca="false">IF(E86=0,0,D86/E86*100)</f>
        <v>18.0444444444444</v>
      </c>
      <c r="J86" s="25" t="str">
        <f aca="false">IF(G86&gt;=Inputs!$C$7,"GREEN",IF(G86&gt;=Inputs!$C$7-10,"AMBER","RED"))</f>
        <v>GREEN</v>
      </c>
      <c r="K86" s="20" t="n">
        <v>4.5</v>
      </c>
      <c r="L86" s="20" t="n">
        <v>7.2</v>
      </c>
    </row>
    <row r="87" customFormat="false" ht="15" hidden="false" customHeight="true" outlineLevel="0" collapsed="false">
      <c r="A87" s="26" t="s">
        <v>69</v>
      </c>
      <c r="B87" s="26" t="s">
        <v>56</v>
      </c>
      <c r="C87" s="26" t="n">
        <v>6.3</v>
      </c>
      <c r="D87" s="21" t="n">
        <f aca="false">C87*Inputs!$C$6/3600</f>
        <v>0.392</v>
      </c>
      <c r="E87" s="7" t="n">
        <v>2</v>
      </c>
      <c r="F87" s="22" t="n">
        <f aca="false">IF(E87&lt;=D87,"Understaffed",1-POISSON(E87-1,D87,1))</f>
        <v>0.0594198733668085</v>
      </c>
      <c r="G87" s="23" t="n">
        <f aca="false">IF(E87&lt;=D87,0,(1-F87*EXP(-(E87-D87)*Inputs!$C$8/Inputs!$C$6))*100)</f>
        <v>94.8527004531687</v>
      </c>
      <c r="H87" s="24" t="n">
        <f aca="false">ROUNDUP(E87/Inputs!$C$15,0)</f>
        <v>3</v>
      </c>
      <c r="I87" s="23" t="n">
        <f aca="false">IF(E87=0,0,D87/E87*100)</f>
        <v>19.6</v>
      </c>
      <c r="J87" s="25" t="str">
        <f aca="false">IF(G87&gt;=Inputs!$C$7,"GREEN",IF(G87&gt;=Inputs!$C$7-10,"AMBER","RED"))</f>
        <v>GREEN</v>
      </c>
      <c r="K87" s="26" t="n">
        <v>4.9</v>
      </c>
      <c r="L87" s="26" t="n">
        <v>7.7</v>
      </c>
    </row>
    <row r="88" customFormat="false" ht="15" hidden="false" customHeight="true" outlineLevel="0" collapsed="false">
      <c r="A88" s="20" t="s">
        <v>69</v>
      </c>
      <c r="B88" s="20" t="s">
        <v>57</v>
      </c>
      <c r="C88" s="20" t="n">
        <v>5.3</v>
      </c>
      <c r="D88" s="21" t="n">
        <f aca="false">C88*Inputs!$C$6/3600</f>
        <v>0.329777777777778</v>
      </c>
      <c r="E88" s="7" t="n">
        <v>2</v>
      </c>
      <c r="F88" s="22" t="n">
        <f aca="false">IF(E88&lt;=D88,"Understaffed",1-POISSON(E88-1,D88,1))</f>
        <v>0.0437787253572556</v>
      </c>
      <c r="G88" s="23" t="n">
        <f aca="false">IF(E88&lt;=D88,0,(1-F88*EXP(-(E88-D88)*Inputs!$C$8/Inputs!$C$6))*100)</f>
        <v>96.2286391676252</v>
      </c>
      <c r="H88" s="24" t="n">
        <f aca="false">ROUNDUP(E88/Inputs!$C$15,0)</f>
        <v>3</v>
      </c>
      <c r="I88" s="23" t="n">
        <f aca="false">IF(E88=0,0,D88/E88*100)</f>
        <v>16.4888888888889</v>
      </c>
      <c r="J88" s="25" t="str">
        <f aca="false">IF(G88&gt;=Inputs!$C$7,"GREEN",IF(G88&gt;=Inputs!$C$7-10,"AMBER","RED"))</f>
        <v>GREEN</v>
      </c>
      <c r="K88" s="20" t="n">
        <v>4.1</v>
      </c>
      <c r="L88" s="20" t="n">
        <v>6.5</v>
      </c>
    </row>
    <row r="89" customFormat="false" ht="15" hidden="false" customHeight="true" outlineLevel="0" collapsed="false">
      <c r="A89" s="26" t="s">
        <v>69</v>
      </c>
      <c r="B89" s="26" t="s">
        <v>58</v>
      </c>
      <c r="C89" s="26" t="n">
        <v>5.7</v>
      </c>
      <c r="D89" s="21" t="n">
        <f aca="false">C89*Inputs!$C$6/3600</f>
        <v>0.354666666666667</v>
      </c>
      <c r="E89" s="7" t="n">
        <v>2</v>
      </c>
      <c r="F89" s="22" t="n">
        <f aca="false">IF(E89&lt;=D89,"Understaffed",1-POISSON(E89-1,D89,1))</f>
        <v>0.0498270373941074</v>
      </c>
      <c r="G89" s="23" t="n">
        <f aca="false">IF(E89&lt;=D89,0,(1-F89*EXP(-(E89-D89)*Inputs!$C$8/Inputs!$C$6))*100)</f>
        <v>95.6980521807102</v>
      </c>
      <c r="H89" s="24" t="n">
        <f aca="false">ROUNDUP(E89/Inputs!$C$15,0)</f>
        <v>3</v>
      </c>
      <c r="I89" s="23" t="n">
        <f aca="false">IF(E89=0,0,D89/E89*100)</f>
        <v>17.7333333333333</v>
      </c>
      <c r="J89" s="25" t="str">
        <f aca="false">IF(G89&gt;=Inputs!$C$7,"GREEN",IF(G89&gt;=Inputs!$C$7-10,"AMBER","RED"))</f>
        <v>GREEN</v>
      </c>
      <c r="K89" s="26" t="n">
        <v>4.4</v>
      </c>
      <c r="L89" s="26" t="n">
        <v>7</v>
      </c>
    </row>
    <row r="90" customFormat="false" ht="15" hidden="false" customHeight="true" outlineLevel="0" collapsed="false">
      <c r="A90" s="20" t="s">
        <v>69</v>
      </c>
      <c r="B90" s="20" t="s">
        <v>59</v>
      </c>
      <c r="C90" s="20" t="n">
        <v>6</v>
      </c>
      <c r="D90" s="21" t="n">
        <f aca="false">C90*Inputs!$C$6/3600</f>
        <v>0.373333333333333</v>
      </c>
      <c r="E90" s="7" t="n">
        <v>2</v>
      </c>
      <c r="F90" s="22" t="n">
        <f aca="false">IF(E90&lt;=D90,"Understaffed",1-POISSON(E90-1,D90,1))</f>
        <v>0.0545482833307891</v>
      </c>
      <c r="G90" s="23" t="n">
        <f aca="false">IF(E90&lt;=D90,0,(1-F90*EXP(-(E90-D90)*Inputs!$C$8/Inputs!$C$6))*100)</f>
        <v>95.282575216896</v>
      </c>
      <c r="H90" s="24" t="n">
        <f aca="false">ROUNDUP(E90/Inputs!$C$15,0)</f>
        <v>3</v>
      </c>
      <c r="I90" s="23" t="n">
        <f aca="false">IF(E90=0,0,D90/E90*100)</f>
        <v>18.6666666666667</v>
      </c>
      <c r="J90" s="25" t="str">
        <f aca="false">IF(G90&gt;=Inputs!$C$7,"GREEN",IF(G90&gt;=Inputs!$C$7-10,"AMBER","RED"))</f>
        <v>GREEN</v>
      </c>
      <c r="K90" s="20" t="n">
        <v>4.7</v>
      </c>
      <c r="L90" s="20" t="n">
        <v>7.4</v>
      </c>
    </row>
    <row r="91" customFormat="false" ht="15" hidden="false" customHeight="true" outlineLevel="0" collapsed="false">
      <c r="A91" s="26" t="s">
        <v>69</v>
      </c>
      <c r="B91" s="26" t="s">
        <v>60</v>
      </c>
      <c r="C91" s="26" t="n">
        <v>6.2</v>
      </c>
      <c r="D91" s="21" t="n">
        <f aca="false">C91*Inputs!$C$6/3600</f>
        <v>0.385777777777778</v>
      </c>
      <c r="E91" s="7" t="n">
        <v>2</v>
      </c>
      <c r="F91" s="22" t="n">
        <f aca="false">IF(E91&lt;=D91,"Understaffed",1-POISSON(E91-1,D91,1))</f>
        <v>0.0577797525096471</v>
      </c>
      <c r="G91" s="23" t="n">
        <f aca="false">IF(E91&lt;=D91,0,(1-F91*EXP(-(E91-D91)*Inputs!$C$8/Inputs!$C$6))*100)</f>
        <v>94.9975572927541</v>
      </c>
      <c r="H91" s="24" t="n">
        <f aca="false">ROUNDUP(E91/Inputs!$C$15,0)</f>
        <v>3</v>
      </c>
      <c r="I91" s="23" t="n">
        <f aca="false">IF(E91=0,0,D91/E91*100)</f>
        <v>19.2888888888889</v>
      </c>
      <c r="J91" s="25" t="str">
        <f aca="false">IF(G91&gt;=Inputs!$C$7,"GREEN",IF(G91&gt;=Inputs!$C$7-10,"AMBER","RED"))</f>
        <v>GREEN</v>
      </c>
      <c r="K91" s="26" t="n">
        <v>4.8</v>
      </c>
      <c r="L91" s="26" t="n">
        <v>7.6</v>
      </c>
    </row>
    <row r="92" customFormat="false" ht="15" hidden="false" customHeight="true" outlineLevel="0" collapsed="false">
      <c r="A92" s="20" t="s">
        <v>70</v>
      </c>
      <c r="B92" s="20" t="s">
        <v>52</v>
      </c>
      <c r="C92" s="20" t="n">
        <v>5.4</v>
      </c>
      <c r="D92" s="21" t="n">
        <f aca="false">C92*Inputs!$C$6/3600</f>
        <v>0.336</v>
      </c>
      <c r="E92" s="7" t="n">
        <v>2</v>
      </c>
      <c r="F92" s="22" t="n">
        <f aca="false">IF(E92&lt;=D92,"Understaffed",1-POISSON(E92-1,D92,1))</f>
        <v>0.0452635306297475</v>
      </c>
      <c r="G92" s="23" t="n">
        <f aca="false">IF(E92&lt;=D92,0,(1-F92*EXP(-(E92-D92)*Inputs!$C$8/Inputs!$C$6))*100)</f>
        <v>96.0985623113331</v>
      </c>
      <c r="H92" s="24" t="n">
        <f aca="false">ROUNDUP(E92/Inputs!$C$15,0)</f>
        <v>3</v>
      </c>
      <c r="I92" s="23" t="n">
        <f aca="false">IF(E92=0,0,D92/E92*100)</f>
        <v>16.8</v>
      </c>
      <c r="J92" s="25" t="str">
        <f aca="false">IF(G92&gt;=Inputs!$C$7,"GREEN",IF(G92&gt;=Inputs!$C$7-10,"AMBER","RED"))</f>
        <v>GREEN</v>
      </c>
      <c r="K92" s="20" t="n">
        <v>4.1</v>
      </c>
      <c r="L92" s="20" t="n">
        <v>6.7</v>
      </c>
    </row>
    <row r="93" customFormat="false" ht="15" hidden="false" customHeight="true" outlineLevel="0" collapsed="false">
      <c r="A93" s="26" t="s">
        <v>70</v>
      </c>
      <c r="B93" s="26" t="s">
        <v>53</v>
      </c>
      <c r="C93" s="26" t="n">
        <v>5.2</v>
      </c>
      <c r="D93" s="21" t="n">
        <f aca="false">C93*Inputs!$C$6/3600</f>
        <v>0.323555555555556</v>
      </c>
      <c r="E93" s="7" t="n">
        <v>2</v>
      </c>
      <c r="F93" s="22" t="n">
        <f aca="false">IF(E93&lt;=D93,"Understaffed",1-POISSON(E93-1,D93,1))</f>
        <v>0.0423125793600404</v>
      </c>
      <c r="G93" s="23" t="n">
        <f aca="false">IF(E93&lt;=D93,0,(1-F93*EXP(-(E93-D93)*Inputs!$C$8/Inputs!$C$6))*100)</f>
        <v>96.3569662090607</v>
      </c>
      <c r="H93" s="24" t="n">
        <f aca="false">ROUNDUP(E93/Inputs!$C$15,0)</f>
        <v>3</v>
      </c>
      <c r="I93" s="23" t="n">
        <f aca="false">IF(E93=0,0,D93/E93*100)</f>
        <v>16.1777777777778</v>
      </c>
      <c r="J93" s="25" t="str">
        <f aca="false">IF(G93&gt;=Inputs!$C$7,"GREEN",IF(G93&gt;=Inputs!$C$7-10,"AMBER","RED"))</f>
        <v>GREEN</v>
      </c>
      <c r="K93" s="26" t="n">
        <v>3.9</v>
      </c>
      <c r="L93" s="26" t="n">
        <v>6.5</v>
      </c>
    </row>
    <row r="94" customFormat="false" ht="15" hidden="false" customHeight="true" outlineLevel="0" collapsed="false">
      <c r="A94" s="20" t="s">
        <v>70</v>
      </c>
      <c r="B94" s="20" t="s">
        <v>54</v>
      </c>
      <c r="C94" s="20" t="n">
        <v>5.8</v>
      </c>
      <c r="D94" s="21" t="n">
        <f aca="false">C94*Inputs!$C$6/3600</f>
        <v>0.360888888888889</v>
      </c>
      <c r="E94" s="7" t="n">
        <v>2</v>
      </c>
      <c r="F94" s="22" t="n">
        <f aca="false">IF(E94&lt;=D94,"Understaffed",1-POISSON(E94-1,D94,1))</f>
        <v>0.0513836292339926</v>
      </c>
      <c r="G94" s="23" t="n">
        <f aca="false">IF(E94&lt;=D94,0,(1-F94*EXP(-(E94-D94)*Inputs!$C$8/Inputs!$C$6))*100)</f>
        <v>95.5611944277516</v>
      </c>
      <c r="H94" s="24" t="n">
        <f aca="false">ROUNDUP(E94/Inputs!$C$15,0)</f>
        <v>3</v>
      </c>
      <c r="I94" s="23" t="n">
        <f aca="false">IF(E94=0,0,D94/E94*100)</f>
        <v>18.0444444444444</v>
      </c>
      <c r="J94" s="25" t="str">
        <f aca="false">IF(G94&gt;=Inputs!$C$7,"GREEN",IF(G94&gt;=Inputs!$C$7-10,"AMBER","RED"))</f>
        <v>GREEN</v>
      </c>
      <c r="K94" s="20" t="n">
        <v>4.4</v>
      </c>
      <c r="L94" s="20" t="n">
        <v>7.2</v>
      </c>
    </row>
    <row r="95" customFormat="false" ht="15" hidden="false" customHeight="true" outlineLevel="0" collapsed="false">
      <c r="A95" s="26" t="s">
        <v>70</v>
      </c>
      <c r="B95" s="26" t="s">
        <v>55</v>
      </c>
      <c r="C95" s="26" t="n">
        <v>5.4</v>
      </c>
      <c r="D95" s="21" t="n">
        <f aca="false">C95*Inputs!$C$6/3600</f>
        <v>0.336</v>
      </c>
      <c r="E95" s="7" t="n">
        <v>2</v>
      </c>
      <c r="F95" s="22" t="n">
        <f aca="false">IF(E95&lt;=D95,"Understaffed",1-POISSON(E95-1,D95,1))</f>
        <v>0.0452635306297475</v>
      </c>
      <c r="G95" s="23" t="n">
        <f aca="false">IF(E95&lt;=D95,0,(1-F95*EXP(-(E95-D95)*Inputs!$C$8/Inputs!$C$6))*100)</f>
        <v>96.0985623113331</v>
      </c>
      <c r="H95" s="24" t="n">
        <f aca="false">ROUNDUP(E95/Inputs!$C$15,0)</f>
        <v>3</v>
      </c>
      <c r="I95" s="23" t="n">
        <f aca="false">IF(E95=0,0,D95/E95*100)</f>
        <v>16.8</v>
      </c>
      <c r="J95" s="25" t="str">
        <f aca="false">IF(G95&gt;=Inputs!$C$7,"GREEN",IF(G95&gt;=Inputs!$C$7-10,"AMBER","RED"))</f>
        <v>GREEN</v>
      </c>
      <c r="K95" s="26" t="n">
        <v>4.1</v>
      </c>
      <c r="L95" s="26" t="n">
        <v>6.7</v>
      </c>
    </row>
    <row r="96" customFormat="false" ht="15" hidden="false" customHeight="true" outlineLevel="0" collapsed="false">
      <c r="A96" s="20" t="s">
        <v>70</v>
      </c>
      <c r="B96" s="20" t="s">
        <v>56</v>
      </c>
      <c r="C96" s="20" t="n">
        <v>5.8</v>
      </c>
      <c r="D96" s="21" t="n">
        <f aca="false">C96*Inputs!$C$6/3600</f>
        <v>0.360888888888889</v>
      </c>
      <c r="E96" s="7" t="n">
        <v>2</v>
      </c>
      <c r="F96" s="22" t="n">
        <f aca="false">IF(E96&lt;=D96,"Understaffed",1-POISSON(E96-1,D96,1))</f>
        <v>0.0513836292339926</v>
      </c>
      <c r="G96" s="23" t="n">
        <f aca="false">IF(E96&lt;=D96,0,(1-F96*EXP(-(E96-D96)*Inputs!$C$8/Inputs!$C$6))*100)</f>
        <v>95.5611944277516</v>
      </c>
      <c r="H96" s="24" t="n">
        <f aca="false">ROUNDUP(E96/Inputs!$C$15,0)</f>
        <v>3</v>
      </c>
      <c r="I96" s="23" t="n">
        <f aca="false">IF(E96=0,0,D96/E96*100)</f>
        <v>18.0444444444444</v>
      </c>
      <c r="J96" s="25" t="str">
        <f aca="false">IF(G96&gt;=Inputs!$C$7,"GREEN",IF(G96&gt;=Inputs!$C$7-10,"AMBER","RED"))</f>
        <v>GREEN</v>
      </c>
      <c r="K96" s="20" t="n">
        <v>4.4</v>
      </c>
      <c r="L96" s="20" t="n">
        <v>7.3</v>
      </c>
    </row>
    <row r="97" customFormat="false" ht="15" hidden="false" customHeight="true" outlineLevel="0" collapsed="false">
      <c r="A97" s="26" t="s">
        <v>70</v>
      </c>
      <c r="B97" s="26" t="s">
        <v>57</v>
      </c>
      <c r="C97" s="26" t="n">
        <v>4.9</v>
      </c>
      <c r="D97" s="21" t="n">
        <f aca="false">C97*Inputs!$C$6/3600</f>
        <v>0.304888888888889</v>
      </c>
      <c r="E97" s="7" t="n">
        <v>2</v>
      </c>
      <c r="F97" s="22" t="n">
        <f aca="false">IF(E97&lt;=D97,"Understaffed",1-POISSON(E97-1,D97,1))</f>
        <v>0.0380290192894296</v>
      </c>
      <c r="G97" s="23" t="n">
        <f aca="false">IF(E97&lt;=D97,0,(1-F97*EXP(-(E97-D97)*Inputs!$C$8/Inputs!$C$6))*100)</f>
        <v>96.7312252044132</v>
      </c>
      <c r="H97" s="24" t="n">
        <f aca="false">ROUNDUP(E97/Inputs!$C$15,0)</f>
        <v>3</v>
      </c>
      <c r="I97" s="23" t="n">
        <f aca="false">IF(E97=0,0,D97/E97*100)</f>
        <v>15.2444444444444</v>
      </c>
      <c r="J97" s="25" t="str">
        <f aca="false">IF(G97&gt;=Inputs!$C$7,"GREEN",IF(G97&gt;=Inputs!$C$7-10,"AMBER","RED"))</f>
        <v>GREEN</v>
      </c>
      <c r="K97" s="26" t="n">
        <v>3.7</v>
      </c>
      <c r="L97" s="26" t="n">
        <v>6.1</v>
      </c>
    </row>
    <row r="98" customFormat="false" ht="15" hidden="false" customHeight="true" outlineLevel="0" collapsed="false">
      <c r="A98" s="20" t="s">
        <v>70</v>
      </c>
      <c r="B98" s="20" t="s">
        <v>58</v>
      </c>
      <c r="C98" s="20" t="n">
        <v>5.2</v>
      </c>
      <c r="D98" s="21" t="n">
        <f aca="false">C98*Inputs!$C$6/3600</f>
        <v>0.323555555555556</v>
      </c>
      <c r="E98" s="7" t="n">
        <v>2</v>
      </c>
      <c r="F98" s="22" t="n">
        <f aca="false">IF(E98&lt;=D98,"Understaffed",1-POISSON(E98-1,D98,1))</f>
        <v>0.0423125793600404</v>
      </c>
      <c r="G98" s="23" t="n">
        <f aca="false">IF(E98&lt;=D98,0,(1-F98*EXP(-(E98-D98)*Inputs!$C$8/Inputs!$C$6))*100)</f>
        <v>96.3569662090607</v>
      </c>
      <c r="H98" s="24" t="n">
        <f aca="false">ROUNDUP(E98/Inputs!$C$15,0)</f>
        <v>3</v>
      </c>
      <c r="I98" s="23" t="n">
        <f aca="false">IF(E98=0,0,D98/E98*100)</f>
        <v>16.1777777777778</v>
      </c>
      <c r="J98" s="25" t="str">
        <f aca="false">IF(G98&gt;=Inputs!$C$7,"GREEN",IF(G98&gt;=Inputs!$C$7-10,"AMBER","RED"))</f>
        <v>GREEN</v>
      </c>
      <c r="K98" s="20" t="n">
        <v>4</v>
      </c>
      <c r="L98" s="20" t="n">
        <v>6.5</v>
      </c>
    </row>
    <row r="99" customFormat="false" ht="15" hidden="false" customHeight="true" outlineLevel="0" collapsed="false">
      <c r="A99" s="26" t="s">
        <v>70</v>
      </c>
      <c r="B99" s="26" t="s">
        <v>59</v>
      </c>
      <c r="C99" s="26" t="n">
        <v>5.6</v>
      </c>
      <c r="D99" s="21" t="n">
        <f aca="false">C99*Inputs!$C$6/3600</f>
        <v>0.348444444444444</v>
      </c>
      <c r="E99" s="7" t="n">
        <v>2</v>
      </c>
      <c r="F99" s="22" t="n">
        <f aca="false">IF(E99&lt;=D99,"Understaffed",1-POISSON(E99-1,D99,1))</f>
        <v>0.048287970274747</v>
      </c>
      <c r="G99" s="23" t="n">
        <f aca="false">IF(E99&lt;=D99,0,(1-F99*EXP(-(E99-D99)*Inputs!$C$8/Inputs!$C$6))*100)</f>
        <v>95.8332470786567</v>
      </c>
      <c r="H99" s="24" t="n">
        <f aca="false">ROUNDUP(E99/Inputs!$C$15,0)</f>
        <v>3</v>
      </c>
      <c r="I99" s="23" t="n">
        <f aca="false">IF(E99=0,0,D99/E99*100)</f>
        <v>17.4222222222222</v>
      </c>
      <c r="J99" s="25" t="str">
        <f aca="false">IF(G99&gt;=Inputs!$C$7,"GREEN",IF(G99&gt;=Inputs!$C$7-10,"AMBER","RED"))</f>
        <v>GREEN</v>
      </c>
      <c r="K99" s="26" t="n">
        <v>4.2</v>
      </c>
      <c r="L99" s="26" t="n">
        <v>7</v>
      </c>
    </row>
    <row r="100" customFormat="false" ht="15" hidden="false" customHeight="true" outlineLevel="0" collapsed="false">
      <c r="A100" s="20" t="s">
        <v>70</v>
      </c>
      <c r="B100" s="20" t="s">
        <v>60</v>
      </c>
      <c r="C100" s="20" t="n">
        <v>5.7</v>
      </c>
      <c r="D100" s="21" t="n">
        <f aca="false">C100*Inputs!$C$6/3600</f>
        <v>0.354666666666667</v>
      </c>
      <c r="E100" s="7" t="n">
        <v>2</v>
      </c>
      <c r="F100" s="22" t="n">
        <f aca="false">IF(E100&lt;=D100,"Understaffed",1-POISSON(E100-1,D100,1))</f>
        <v>0.0498270373941074</v>
      </c>
      <c r="G100" s="23" t="n">
        <f aca="false">IF(E100&lt;=D100,0,(1-F100*EXP(-(E100-D100)*Inputs!$C$8/Inputs!$C$6))*100)</f>
        <v>95.6980521807102</v>
      </c>
      <c r="H100" s="24" t="n">
        <f aca="false">ROUNDUP(E100/Inputs!$C$15,0)</f>
        <v>3</v>
      </c>
      <c r="I100" s="23" t="n">
        <f aca="false">IF(E100=0,0,D100/E100*100)</f>
        <v>17.7333333333333</v>
      </c>
      <c r="J100" s="25" t="str">
        <f aca="false">IF(G100&gt;=Inputs!$C$7,"GREEN",IF(G100&gt;=Inputs!$C$7-10,"AMBER","RED"))</f>
        <v>GREEN</v>
      </c>
      <c r="K100" s="20" t="n">
        <v>4.3</v>
      </c>
      <c r="L100" s="20" t="n">
        <v>7.1</v>
      </c>
    </row>
    <row r="101" customFormat="false" ht="15" hidden="false" customHeight="true" outlineLevel="0" collapsed="false">
      <c r="A101" s="26" t="s">
        <v>71</v>
      </c>
      <c r="B101" s="26" t="s">
        <v>52</v>
      </c>
      <c r="C101" s="26" t="n">
        <v>5.8</v>
      </c>
      <c r="D101" s="21" t="n">
        <f aca="false">C101*Inputs!$C$6/3600</f>
        <v>0.360888888888889</v>
      </c>
      <c r="E101" s="7" t="n">
        <v>2</v>
      </c>
      <c r="F101" s="22" t="n">
        <f aca="false">IF(E101&lt;=D101,"Understaffed",1-POISSON(E101-1,D101,1))</f>
        <v>0.0513836292339926</v>
      </c>
      <c r="G101" s="23" t="n">
        <f aca="false">IF(E101&lt;=D101,0,(1-F101*EXP(-(E101-D101)*Inputs!$C$8/Inputs!$C$6))*100)</f>
        <v>95.5611944277516</v>
      </c>
      <c r="H101" s="24" t="n">
        <f aca="false">ROUNDUP(E101/Inputs!$C$15,0)</f>
        <v>3</v>
      </c>
      <c r="I101" s="23" t="n">
        <f aca="false">IF(E101=0,0,D101/E101*100)</f>
        <v>18.0444444444444</v>
      </c>
      <c r="J101" s="25" t="str">
        <f aca="false">IF(G101&gt;=Inputs!$C$7,"GREEN",IF(G101&gt;=Inputs!$C$7-10,"AMBER","RED"))</f>
        <v>GREEN</v>
      </c>
      <c r="K101" s="26" t="n">
        <v>4.6</v>
      </c>
      <c r="L101" s="26" t="n">
        <v>7</v>
      </c>
    </row>
    <row r="102" customFormat="false" ht="15" hidden="false" customHeight="true" outlineLevel="0" collapsed="false">
      <c r="A102" s="20" t="s">
        <v>71</v>
      </c>
      <c r="B102" s="20" t="s">
        <v>53</v>
      </c>
      <c r="C102" s="20" t="n">
        <v>5.6</v>
      </c>
      <c r="D102" s="21" t="n">
        <f aca="false">C102*Inputs!$C$6/3600</f>
        <v>0.348444444444444</v>
      </c>
      <c r="E102" s="7" t="n">
        <v>2</v>
      </c>
      <c r="F102" s="22" t="n">
        <f aca="false">IF(E102&lt;=D102,"Understaffed",1-POISSON(E102-1,D102,1))</f>
        <v>0.048287970274747</v>
      </c>
      <c r="G102" s="23" t="n">
        <f aca="false">IF(E102&lt;=D102,0,(1-F102*EXP(-(E102-D102)*Inputs!$C$8/Inputs!$C$6))*100)</f>
        <v>95.8332470786567</v>
      </c>
      <c r="H102" s="24" t="n">
        <f aca="false">ROUNDUP(E102/Inputs!$C$15,0)</f>
        <v>3</v>
      </c>
      <c r="I102" s="23" t="n">
        <f aca="false">IF(E102=0,0,D102/E102*100)</f>
        <v>17.4222222222222</v>
      </c>
      <c r="J102" s="25" t="str">
        <f aca="false">IF(G102&gt;=Inputs!$C$7,"GREEN",IF(G102&gt;=Inputs!$C$7-10,"AMBER","RED"))</f>
        <v>GREEN</v>
      </c>
      <c r="K102" s="20" t="n">
        <v>4.5</v>
      </c>
      <c r="L102" s="20" t="n">
        <v>6.8</v>
      </c>
    </row>
    <row r="103" customFormat="false" ht="15" hidden="false" customHeight="true" outlineLevel="0" collapsed="false">
      <c r="A103" s="26" t="s">
        <v>71</v>
      </c>
      <c r="B103" s="26" t="s">
        <v>54</v>
      </c>
      <c r="C103" s="26" t="n">
        <v>6.3</v>
      </c>
      <c r="D103" s="21" t="n">
        <f aca="false">C103*Inputs!$C$6/3600</f>
        <v>0.392</v>
      </c>
      <c r="E103" s="7" t="n">
        <v>2</v>
      </c>
      <c r="F103" s="22" t="n">
        <f aca="false">IF(E103&lt;=D103,"Understaffed",1-POISSON(E103-1,D103,1))</f>
        <v>0.0594198733668085</v>
      </c>
      <c r="G103" s="23" t="n">
        <f aca="false">IF(E103&lt;=D103,0,(1-F103*EXP(-(E103-D103)*Inputs!$C$8/Inputs!$C$6))*100)</f>
        <v>94.8527004531687</v>
      </c>
      <c r="H103" s="24" t="n">
        <f aca="false">ROUNDUP(E103/Inputs!$C$15,0)</f>
        <v>3</v>
      </c>
      <c r="I103" s="23" t="n">
        <f aca="false">IF(E103=0,0,D103/E103*100)</f>
        <v>19.6</v>
      </c>
      <c r="J103" s="25" t="str">
        <f aca="false">IF(G103&gt;=Inputs!$C$7,"GREEN",IF(G103&gt;=Inputs!$C$7-10,"AMBER","RED"))</f>
        <v>GREEN</v>
      </c>
      <c r="K103" s="26" t="n">
        <v>5</v>
      </c>
      <c r="L103" s="26" t="n">
        <v>7.6</v>
      </c>
    </row>
    <row r="104" customFormat="false" ht="15" hidden="false" customHeight="true" outlineLevel="0" collapsed="false">
      <c r="A104" s="20" t="s">
        <v>71</v>
      </c>
      <c r="B104" s="20" t="s">
        <v>55</v>
      </c>
      <c r="C104" s="20" t="n">
        <v>5.8</v>
      </c>
      <c r="D104" s="21" t="n">
        <f aca="false">C104*Inputs!$C$6/3600</f>
        <v>0.360888888888889</v>
      </c>
      <c r="E104" s="7" t="n">
        <v>2</v>
      </c>
      <c r="F104" s="22" t="n">
        <f aca="false">IF(E104&lt;=D104,"Understaffed",1-POISSON(E104-1,D104,1))</f>
        <v>0.0513836292339926</v>
      </c>
      <c r="G104" s="23" t="n">
        <f aca="false">IF(E104&lt;=D104,0,(1-F104*EXP(-(E104-D104)*Inputs!$C$8/Inputs!$C$6))*100)</f>
        <v>95.5611944277516</v>
      </c>
      <c r="H104" s="24" t="n">
        <f aca="false">ROUNDUP(E104/Inputs!$C$15,0)</f>
        <v>3</v>
      </c>
      <c r="I104" s="23" t="n">
        <f aca="false">IF(E104=0,0,D104/E104*100)</f>
        <v>18.0444444444444</v>
      </c>
      <c r="J104" s="25" t="str">
        <f aca="false">IF(G104&gt;=Inputs!$C$7,"GREEN",IF(G104&gt;=Inputs!$C$7-10,"AMBER","RED"))</f>
        <v>GREEN</v>
      </c>
      <c r="K104" s="20" t="n">
        <v>4.6</v>
      </c>
      <c r="L104" s="20" t="n">
        <v>7</v>
      </c>
    </row>
    <row r="105" customFormat="false" ht="15" hidden="false" customHeight="true" outlineLevel="0" collapsed="false">
      <c r="A105" s="26" t="s">
        <v>71</v>
      </c>
      <c r="B105" s="26" t="s">
        <v>56</v>
      </c>
      <c r="C105" s="26" t="n">
        <v>6.3</v>
      </c>
      <c r="D105" s="21" t="n">
        <f aca="false">C105*Inputs!$C$6/3600</f>
        <v>0.392</v>
      </c>
      <c r="E105" s="7" t="n">
        <v>2</v>
      </c>
      <c r="F105" s="22" t="n">
        <f aca="false">IF(E105&lt;=D105,"Understaffed",1-POISSON(E105-1,D105,1))</f>
        <v>0.0594198733668085</v>
      </c>
      <c r="G105" s="23" t="n">
        <f aca="false">IF(E105&lt;=D105,0,(1-F105*EXP(-(E105-D105)*Inputs!$C$8/Inputs!$C$6))*100)</f>
        <v>94.8527004531687</v>
      </c>
      <c r="H105" s="24" t="n">
        <f aca="false">ROUNDUP(E105/Inputs!$C$15,0)</f>
        <v>3</v>
      </c>
      <c r="I105" s="23" t="n">
        <f aca="false">IF(E105=0,0,D105/E105*100)</f>
        <v>19.6</v>
      </c>
      <c r="J105" s="25" t="str">
        <f aca="false">IF(G105&gt;=Inputs!$C$7,"GREEN",IF(G105&gt;=Inputs!$C$7-10,"AMBER","RED"))</f>
        <v>GREEN</v>
      </c>
      <c r="K105" s="26" t="n">
        <v>5</v>
      </c>
      <c r="L105" s="26" t="n">
        <v>7.6</v>
      </c>
    </row>
    <row r="106" customFormat="false" ht="15" hidden="false" customHeight="true" outlineLevel="0" collapsed="false">
      <c r="A106" s="20" t="s">
        <v>71</v>
      </c>
      <c r="B106" s="20" t="s">
        <v>57</v>
      </c>
      <c r="C106" s="20" t="n">
        <v>5.3</v>
      </c>
      <c r="D106" s="21" t="n">
        <f aca="false">C106*Inputs!$C$6/3600</f>
        <v>0.329777777777778</v>
      </c>
      <c r="E106" s="7" t="n">
        <v>2</v>
      </c>
      <c r="F106" s="22" t="n">
        <f aca="false">IF(E106&lt;=D106,"Understaffed",1-POISSON(E106-1,D106,1))</f>
        <v>0.0437787253572556</v>
      </c>
      <c r="G106" s="23" t="n">
        <f aca="false">IF(E106&lt;=D106,0,(1-F106*EXP(-(E106-D106)*Inputs!$C$8/Inputs!$C$6))*100)</f>
        <v>96.2286391676252</v>
      </c>
      <c r="H106" s="24" t="n">
        <f aca="false">ROUNDUP(E106/Inputs!$C$15,0)</f>
        <v>3</v>
      </c>
      <c r="I106" s="23" t="n">
        <f aca="false">IF(E106=0,0,D106/E106*100)</f>
        <v>16.4888888888889</v>
      </c>
      <c r="J106" s="25" t="str">
        <f aca="false">IF(G106&gt;=Inputs!$C$7,"GREEN",IF(G106&gt;=Inputs!$C$7-10,"AMBER","RED"))</f>
        <v>GREEN</v>
      </c>
      <c r="K106" s="20" t="n">
        <v>4.2</v>
      </c>
      <c r="L106" s="20" t="n">
        <v>6.4</v>
      </c>
    </row>
    <row r="107" customFormat="false" ht="15" hidden="false" customHeight="true" outlineLevel="0" collapsed="false">
      <c r="A107" s="26" t="s">
        <v>71</v>
      </c>
      <c r="B107" s="26" t="s">
        <v>58</v>
      </c>
      <c r="C107" s="26" t="n">
        <v>5.7</v>
      </c>
      <c r="D107" s="21" t="n">
        <f aca="false">C107*Inputs!$C$6/3600</f>
        <v>0.354666666666667</v>
      </c>
      <c r="E107" s="7" t="n">
        <v>2</v>
      </c>
      <c r="F107" s="22" t="n">
        <f aca="false">IF(E107&lt;=D107,"Understaffed",1-POISSON(E107-1,D107,1))</f>
        <v>0.0498270373941074</v>
      </c>
      <c r="G107" s="23" t="n">
        <f aca="false">IF(E107&lt;=D107,0,(1-F107*EXP(-(E107-D107)*Inputs!$C$8/Inputs!$C$6))*100)</f>
        <v>95.6980521807102</v>
      </c>
      <c r="H107" s="24" t="n">
        <f aca="false">ROUNDUP(E107/Inputs!$C$15,0)</f>
        <v>3</v>
      </c>
      <c r="I107" s="23" t="n">
        <f aca="false">IF(E107=0,0,D107/E107*100)</f>
        <v>17.7333333333333</v>
      </c>
      <c r="J107" s="25" t="str">
        <f aca="false">IF(G107&gt;=Inputs!$C$7,"GREEN",IF(G107&gt;=Inputs!$C$7-10,"AMBER","RED"))</f>
        <v>GREEN</v>
      </c>
      <c r="K107" s="26" t="n">
        <v>4.5</v>
      </c>
      <c r="L107" s="26" t="n">
        <v>6.8</v>
      </c>
    </row>
    <row r="108" customFormat="false" ht="15" hidden="false" customHeight="true" outlineLevel="0" collapsed="false">
      <c r="A108" s="20" t="s">
        <v>71</v>
      </c>
      <c r="B108" s="20" t="s">
        <v>59</v>
      </c>
      <c r="C108" s="20" t="n">
        <v>6</v>
      </c>
      <c r="D108" s="21" t="n">
        <f aca="false">C108*Inputs!$C$6/3600</f>
        <v>0.373333333333333</v>
      </c>
      <c r="E108" s="7" t="n">
        <v>2</v>
      </c>
      <c r="F108" s="22" t="n">
        <f aca="false">IF(E108&lt;=D108,"Understaffed",1-POISSON(E108-1,D108,1))</f>
        <v>0.0545482833307891</v>
      </c>
      <c r="G108" s="23" t="n">
        <f aca="false">IF(E108&lt;=D108,0,(1-F108*EXP(-(E108-D108)*Inputs!$C$8/Inputs!$C$6))*100)</f>
        <v>95.282575216896</v>
      </c>
      <c r="H108" s="24" t="n">
        <f aca="false">ROUNDUP(E108/Inputs!$C$15,0)</f>
        <v>3</v>
      </c>
      <c r="I108" s="23" t="n">
        <f aca="false">IF(E108=0,0,D108/E108*100)</f>
        <v>18.6666666666667</v>
      </c>
      <c r="J108" s="25" t="str">
        <f aca="false">IF(G108&gt;=Inputs!$C$7,"GREEN",IF(G108&gt;=Inputs!$C$7-10,"AMBER","RED"))</f>
        <v>GREEN</v>
      </c>
      <c r="K108" s="20" t="n">
        <v>4.8</v>
      </c>
      <c r="L108" s="20" t="n">
        <v>7.3</v>
      </c>
    </row>
    <row r="109" customFormat="false" ht="15" hidden="false" customHeight="true" outlineLevel="0" collapsed="false">
      <c r="A109" s="26" t="s">
        <v>71</v>
      </c>
      <c r="B109" s="26" t="s">
        <v>60</v>
      </c>
      <c r="C109" s="26" t="n">
        <v>6.2</v>
      </c>
      <c r="D109" s="21" t="n">
        <f aca="false">C109*Inputs!$C$6/3600</f>
        <v>0.385777777777778</v>
      </c>
      <c r="E109" s="7" t="n">
        <v>2</v>
      </c>
      <c r="F109" s="22" t="n">
        <f aca="false">IF(E109&lt;=D109,"Understaffed",1-POISSON(E109-1,D109,1))</f>
        <v>0.0577797525096471</v>
      </c>
      <c r="G109" s="23" t="n">
        <f aca="false">IF(E109&lt;=D109,0,(1-F109*EXP(-(E109-D109)*Inputs!$C$8/Inputs!$C$6))*100)</f>
        <v>94.9975572927541</v>
      </c>
      <c r="H109" s="24" t="n">
        <f aca="false">ROUNDUP(E109/Inputs!$C$15,0)</f>
        <v>3</v>
      </c>
      <c r="I109" s="23" t="n">
        <f aca="false">IF(E109=0,0,D109/E109*100)</f>
        <v>19.2888888888889</v>
      </c>
      <c r="J109" s="25" t="str">
        <f aca="false">IF(G109&gt;=Inputs!$C$7,"GREEN",IF(G109&gt;=Inputs!$C$7-10,"AMBER","RED"))</f>
        <v>GREEN</v>
      </c>
      <c r="K109" s="26" t="n">
        <v>4.9</v>
      </c>
      <c r="L109" s="26" t="n">
        <v>7.5</v>
      </c>
    </row>
    <row r="110" customFormat="false" ht="15" hidden="false" customHeight="true" outlineLevel="0" collapsed="false">
      <c r="A110" s="20" t="s">
        <v>72</v>
      </c>
      <c r="B110" s="20" t="s">
        <v>52</v>
      </c>
      <c r="C110" s="20" t="n">
        <v>5.1</v>
      </c>
      <c r="D110" s="21" t="n">
        <f aca="false">C110*Inputs!$C$6/3600</f>
        <v>0.317333333333333</v>
      </c>
      <c r="E110" s="7" t="n">
        <v>2</v>
      </c>
      <c r="F110" s="22" t="n">
        <f aca="false">IF(E110&lt;=D110,"Understaffed",1-POISSON(E110-1,D110,1))</f>
        <v>0.0408653834111161</v>
      </c>
      <c r="G110" s="23" t="n">
        <f aca="false">IF(E110&lt;=D110,0,(1-F110*EXP(-(E110-D110)*Inputs!$C$8/Inputs!$C$6))*100)</f>
        <v>96.4835212103744</v>
      </c>
      <c r="H110" s="24" t="n">
        <f aca="false">ROUNDUP(E110/Inputs!$C$15,0)</f>
        <v>3</v>
      </c>
      <c r="I110" s="23" t="n">
        <f aca="false">IF(E110=0,0,D110/E110*100)</f>
        <v>15.8666666666667</v>
      </c>
      <c r="J110" s="25" t="str">
        <f aca="false">IF(G110&gt;=Inputs!$C$7,"GREEN",IF(G110&gt;=Inputs!$C$7-10,"AMBER","RED"))</f>
        <v>GREEN</v>
      </c>
      <c r="K110" s="20" t="n">
        <v>3.9</v>
      </c>
      <c r="L110" s="20" t="n">
        <v>6.4</v>
      </c>
    </row>
    <row r="111" customFormat="false" ht="15" hidden="false" customHeight="true" outlineLevel="0" collapsed="false">
      <c r="A111" s="26" t="s">
        <v>72</v>
      </c>
      <c r="B111" s="26" t="s">
        <v>53</v>
      </c>
      <c r="C111" s="26" t="n">
        <v>4.9</v>
      </c>
      <c r="D111" s="21" t="n">
        <f aca="false">C111*Inputs!$C$6/3600</f>
        <v>0.304888888888889</v>
      </c>
      <c r="E111" s="7" t="n">
        <v>2</v>
      </c>
      <c r="F111" s="22" t="n">
        <f aca="false">IF(E111&lt;=D111,"Understaffed",1-POISSON(E111-1,D111,1))</f>
        <v>0.0380290192894296</v>
      </c>
      <c r="G111" s="23" t="n">
        <f aca="false">IF(E111&lt;=D111,0,(1-F111*EXP(-(E111-D111)*Inputs!$C$8/Inputs!$C$6))*100)</f>
        <v>96.7312252044132</v>
      </c>
      <c r="H111" s="24" t="n">
        <f aca="false">ROUNDUP(E111/Inputs!$C$15,0)</f>
        <v>3</v>
      </c>
      <c r="I111" s="23" t="n">
        <f aca="false">IF(E111=0,0,D111/E111*100)</f>
        <v>15.2444444444444</v>
      </c>
      <c r="J111" s="25" t="str">
        <f aca="false">IF(G111&gt;=Inputs!$C$7,"GREEN",IF(G111&gt;=Inputs!$C$7-10,"AMBER","RED"))</f>
        <v>GREEN</v>
      </c>
      <c r="K111" s="26" t="n">
        <v>3.7</v>
      </c>
      <c r="L111" s="26" t="n">
        <v>6.1</v>
      </c>
    </row>
    <row r="112" customFormat="false" ht="15" hidden="false" customHeight="true" outlineLevel="0" collapsed="false">
      <c r="A112" s="20" t="s">
        <v>72</v>
      </c>
      <c r="B112" s="20" t="s">
        <v>54</v>
      </c>
      <c r="C112" s="20" t="n">
        <v>5.4</v>
      </c>
      <c r="D112" s="21" t="n">
        <f aca="false">C112*Inputs!$C$6/3600</f>
        <v>0.336</v>
      </c>
      <c r="E112" s="7" t="n">
        <v>2</v>
      </c>
      <c r="F112" s="22" t="n">
        <f aca="false">IF(E112&lt;=D112,"Understaffed",1-POISSON(E112-1,D112,1))</f>
        <v>0.0452635306297475</v>
      </c>
      <c r="G112" s="23" t="n">
        <f aca="false">IF(E112&lt;=D112,0,(1-F112*EXP(-(E112-D112)*Inputs!$C$8/Inputs!$C$6))*100)</f>
        <v>96.0985623113331</v>
      </c>
      <c r="H112" s="24" t="n">
        <f aca="false">ROUNDUP(E112/Inputs!$C$15,0)</f>
        <v>3</v>
      </c>
      <c r="I112" s="23" t="n">
        <f aca="false">IF(E112=0,0,D112/E112*100)</f>
        <v>16.8</v>
      </c>
      <c r="J112" s="25" t="str">
        <f aca="false">IF(G112&gt;=Inputs!$C$7,"GREEN",IF(G112&gt;=Inputs!$C$7-10,"AMBER","RED"))</f>
        <v>GREEN</v>
      </c>
      <c r="K112" s="20" t="n">
        <v>4.1</v>
      </c>
      <c r="L112" s="20" t="n">
        <v>6.8</v>
      </c>
    </row>
    <row r="113" customFormat="false" ht="15" hidden="false" customHeight="true" outlineLevel="0" collapsed="false">
      <c r="A113" s="26" t="s">
        <v>72</v>
      </c>
      <c r="B113" s="26" t="s">
        <v>55</v>
      </c>
      <c r="C113" s="26" t="n">
        <v>5.1</v>
      </c>
      <c r="D113" s="21" t="n">
        <f aca="false">C113*Inputs!$C$6/3600</f>
        <v>0.317333333333333</v>
      </c>
      <c r="E113" s="7" t="n">
        <v>2</v>
      </c>
      <c r="F113" s="22" t="n">
        <f aca="false">IF(E113&lt;=D113,"Understaffed",1-POISSON(E113-1,D113,1))</f>
        <v>0.0408653834111161</v>
      </c>
      <c r="G113" s="23" t="n">
        <f aca="false">IF(E113&lt;=D113,0,(1-F113*EXP(-(E113-D113)*Inputs!$C$8/Inputs!$C$6))*100)</f>
        <v>96.4835212103744</v>
      </c>
      <c r="H113" s="24" t="n">
        <f aca="false">ROUNDUP(E113/Inputs!$C$15,0)</f>
        <v>3</v>
      </c>
      <c r="I113" s="23" t="n">
        <f aca="false">IF(E113=0,0,D113/E113*100)</f>
        <v>15.8666666666667</v>
      </c>
      <c r="J113" s="25" t="str">
        <f aca="false">IF(G113&gt;=Inputs!$C$7,"GREEN",IF(G113&gt;=Inputs!$C$7-10,"AMBER","RED"))</f>
        <v>GREEN</v>
      </c>
      <c r="K113" s="26" t="n">
        <v>3.9</v>
      </c>
      <c r="L113" s="26" t="n">
        <v>6.4</v>
      </c>
    </row>
    <row r="114" customFormat="false" ht="15" hidden="false" customHeight="true" outlineLevel="0" collapsed="false">
      <c r="A114" s="20" t="s">
        <v>72</v>
      </c>
      <c r="B114" s="20" t="s">
        <v>56</v>
      </c>
      <c r="C114" s="20" t="n">
        <v>5.5</v>
      </c>
      <c r="D114" s="21" t="n">
        <f aca="false">C114*Inputs!$C$6/3600</f>
        <v>0.342222222222222</v>
      </c>
      <c r="E114" s="7" t="n">
        <v>2</v>
      </c>
      <c r="F114" s="22" t="n">
        <f aca="false">IF(E114&lt;=D114,"Understaffed",1-POISSON(E114-1,D114,1))</f>
        <v>0.0467667072826541</v>
      </c>
      <c r="G114" s="23" t="n">
        <f aca="false">IF(E114&lt;=D114,0,(1-F114*EXP(-(E114-D114)*Inputs!$C$8/Inputs!$C$6))*100)</f>
        <v>95.9667576698329</v>
      </c>
      <c r="H114" s="24" t="n">
        <f aca="false">ROUNDUP(E114/Inputs!$C$15,0)</f>
        <v>3</v>
      </c>
      <c r="I114" s="23" t="n">
        <f aca="false">IF(E114=0,0,D114/E114*100)</f>
        <v>17.1111111111111</v>
      </c>
      <c r="J114" s="25" t="str">
        <f aca="false">IF(G114&gt;=Inputs!$C$7,"GREEN",IF(G114&gt;=Inputs!$C$7-10,"AMBER","RED"))</f>
        <v>GREEN</v>
      </c>
      <c r="K114" s="20" t="n">
        <v>4.2</v>
      </c>
      <c r="L114" s="20" t="n">
        <v>6.9</v>
      </c>
    </row>
    <row r="115" customFormat="false" ht="15" hidden="false" customHeight="true" outlineLevel="0" collapsed="false">
      <c r="A115" s="26" t="s">
        <v>72</v>
      </c>
      <c r="B115" s="26" t="s">
        <v>57</v>
      </c>
      <c r="C115" s="26" t="n">
        <v>4.6</v>
      </c>
      <c r="D115" s="21" t="n">
        <f aca="false">C115*Inputs!$C$6/3600</f>
        <v>0.286222222222222</v>
      </c>
      <c r="E115" s="7" t="n">
        <v>2</v>
      </c>
      <c r="F115" s="22" t="n">
        <f aca="false">IF(E115&lt;=D115,"Understaffed",1-POISSON(E115-1,D115,1))</f>
        <v>0.0339240360473559</v>
      </c>
      <c r="G115" s="23" t="n">
        <f aca="false">IF(E115&lt;=D115,0,(1-F115*EXP(-(E115-D115)*Inputs!$C$8/Inputs!$C$6))*100)</f>
        <v>97.088923846321</v>
      </c>
      <c r="H115" s="24" t="n">
        <f aca="false">ROUNDUP(E115/Inputs!$C$15,0)</f>
        <v>3</v>
      </c>
      <c r="I115" s="23" t="n">
        <f aca="false">IF(E115=0,0,D115/E115*100)</f>
        <v>14.3111111111111</v>
      </c>
      <c r="J115" s="25" t="str">
        <f aca="false">IF(G115&gt;=Inputs!$C$7,"GREEN",IF(G115&gt;=Inputs!$C$7-10,"AMBER","RED"))</f>
        <v>GREEN</v>
      </c>
      <c r="K115" s="26" t="n">
        <v>3.5</v>
      </c>
      <c r="L115" s="26" t="n">
        <v>5.8</v>
      </c>
    </row>
    <row r="116" customFormat="false" ht="15" hidden="false" customHeight="true" outlineLevel="0" collapsed="false">
      <c r="A116" s="20" t="s">
        <v>72</v>
      </c>
      <c r="B116" s="20" t="s">
        <v>58</v>
      </c>
      <c r="C116" s="20" t="n">
        <v>4.9</v>
      </c>
      <c r="D116" s="21" t="n">
        <f aca="false">C116*Inputs!$C$6/3600</f>
        <v>0.304888888888889</v>
      </c>
      <c r="E116" s="7" t="n">
        <v>2</v>
      </c>
      <c r="F116" s="22" t="n">
        <f aca="false">IF(E116&lt;=D116,"Understaffed",1-POISSON(E116-1,D116,1))</f>
        <v>0.0380290192894296</v>
      </c>
      <c r="G116" s="23" t="n">
        <f aca="false">IF(E116&lt;=D116,0,(1-F116*EXP(-(E116-D116)*Inputs!$C$8/Inputs!$C$6))*100)</f>
        <v>96.7312252044132</v>
      </c>
      <c r="H116" s="24" t="n">
        <f aca="false">ROUNDUP(E116/Inputs!$C$15,0)</f>
        <v>3</v>
      </c>
      <c r="I116" s="23" t="n">
        <f aca="false">IF(E116=0,0,D116/E116*100)</f>
        <v>15.2444444444444</v>
      </c>
      <c r="J116" s="25" t="str">
        <f aca="false">IF(G116&gt;=Inputs!$C$7,"GREEN",IF(G116&gt;=Inputs!$C$7-10,"AMBER","RED"))</f>
        <v>GREEN</v>
      </c>
      <c r="K116" s="20" t="n">
        <v>3.7</v>
      </c>
      <c r="L116" s="20" t="n">
        <v>6.2</v>
      </c>
    </row>
    <row r="117" customFormat="false" ht="15" hidden="false" customHeight="true" outlineLevel="0" collapsed="false">
      <c r="A117" s="26" t="s">
        <v>72</v>
      </c>
      <c r="B117" s="26" t="s">
        <v>59</v>
      </c>
      <c r="C117" s="26" t="n">
        <v>5.2</v>
      </c>
      <c r="D117" s="21" t="n">
        <f aca="false">C117*Inputs!$C$6/3600</f>
        <v>0.323555555555556</v>
      </c>
      <c r="E117" s="7" t="n">
        <v>2</v>
      </c>
      <c r="F117" s="22" t="n">
        <f aca="false">IF(E117&lt;=D117,"Understaffed",1-POISSON(E117-1,D117,1))</f>
        <v>0.0423125793600404</v>
      </c>
      <c r="G117" s="23" t="n">
        <f aca="false">IF(E117&lt;=D117,0,(1-F117*EXP(-(E117-D117)*Inputs!$C$8/Inputs!$C$6))*100)</f>
        <v>96.3569662090607</v>
      </c>
      <c r="H117" s="24" t="n">
        <f aca="false">ROUNDUP(E117/Inputs!$C$15,0)</f>
        <v>3</v>
      </c>
      <c r="I117" s="23" t="n">
        <f aca="false">IF(E117=0,0,D117/E117*100)</f>
        <v>16.1777777777778</v>
      </c>
      <c r="J117" s="25" t="str">
        <f aca="false">IF(G117&gt;=Inputs!$C$7,"GREEN",IF(G117&gt;=Inputs!$C$7-10,"AMBER","RED"))</f>
        <v>GREEN</v>
      </c>
      <c r="K117" s="26" t="n">
        <v>4</v>
      </c>
      <c r="L117" s="26" t="n">
        <v>6.6</v>
      </c>
    </row>
    <row r="118" customFormat="false" ht="15" hidden="false" customHeight="true" outlineLevel="0" collapsed="false">
      <c r="A118" s="20" t="s">
        <v>72</v>
      </c>
      <c r="B118" s="20" t="s">
        <v>60</v>
      </c>
      <c r="C118" s="20" t="n">
        <v>5.4</v>
      </c>
      <c r="D118" s="21" t="n">
        <f aca="false">C118*Inputs!$C$6/3600</f>
        <v>0.336</v>
      </c>
      <c r="E118" s="7" t="n">
        <v>2</v>
      </c>
      <c r="F118" s="22" t="n">
        <f aca="false">IF(E118&lt;=D118,"Understaffed",1-POISSON(E118-1,D118,1))</f>
        <v>0.0452635306297475</v>
      </c>
      <c r="G118" s="23" t="n">
        <f aca="false">IF(E118&lt;=D118,0,(1-F118*EXP(-(E118-D118)*Inputs!$C$8/Inputs!$C$6))*100)</f>
        <v>96.0985623113331</v>
      </c>
      <c r="H118" s="24" t="n">
        <f aca="false">ROUNDUP(E118/Inputs!$C$15,0)</f>
        <v>3</v>
      </c>
      <c r="I118" s="23" t="n">
        <f aca="false">IF(E118=0,0,D118/E118*100)</f>
        <v>16.8</v>
      </c>
      <c r="J118" s="25" t="str">
        <f aca="false">IF(G118&gt;=Inputs!$C$7,"GREEN",IF(G118&gt;=Inputs!$C$7-10,"AMBER","RED"))</f>
        <v>GREEN</v>
      </c>
      <c r="K118" s="20" t="n">
        <v>4.1</v>
      </c>
      <c r="L118" s="20" t="n">
        <v>6.8</v>
      </c>
    </row>
    <row r="119" customFormat="false" ht="15" hidden="false" customHeight="true" outlineLevel="0" collapsed="false">
      <c r="A119" s="26" t="s">
        <v>73</v>
      </c>
      <c r="B119" s="26" t="s">
        <v>52</v>
      </c>
      <c r="C119" s="26" t="n">
        <v>5.1</v>
      </c>
      <c r="D119" s="21" t="n">
        <f aca="false">C119*Inputs!$C$6/3600</f>
        <v>0.317333333333333</v>
      </c>
      <c r="E119" s="7" t="n">
        <v>2</v>
      </c>
      <c r="F119" s="22" t="n">
        <f aca="false">IF(E119&lt;=D119,"Understaffed",1-POISSON(E119-1,D119,1))</f>
        <v>0.0408653834111161</v>
      </c>
      <c r="G119" s="23" t="n">
        <f aca="false">IF(E119&lt;=D119,0,(1-F119*EXP(-(E119-D119)*Inputs!$C$8/Inputs!$C$6))*100)</f>
        <v>96.4835212103744</v>
      </c>
      <c r="H119" s="24" t="n">
        <f aca="false">ROUNDUP(E119/Inputs!$C$15,0)</f>
        <v>3</v>
      </c>
      <c r="I119" s="23" t="n">
        <f aca="false">IF(E119=0,0,D119/E119*100)</f>
        <v>15.8666666666667</v>
      </c>
      <c r="J119" s="25" t="str">
        <f aca="false">IF(G119&gt;=Inputs!$C$7,"GREEN",IF(G119&gt;=Inputs!$C$7-10,"AMBER","RED"))</f>
        <v>GREEN</v>
      </c>
      <c r="K119" s="26" t="n">
        <v>3.9</v>
      </c>
      <c r="L119" s="26" t="n">
        <v>6.5</v>
      </c>
    </row>
    <row r="120" customFormat="false" ht="15" hidden="false" customHeight="true" outlineLevel="0" collapsed="false">
      <c r="A120" s="20" t="s">
        <v>73</v>
      </c>
      <c r="B120" s="20" t="s">
        <v>53</v>
      </c>
      <c r="C120" s="20" t="n">
        <v>4.9</v>
      </c>
      <c r="D120" s="21" t="n">
        <f aca="false">C120*Inputs!$C$6/3600</f>
        <v>0.304888888888889</v>
      </c>
      <c r="E120" s="7" t="n">
        <v>2</v>
      </c>
      <c r="F120" s="22" t="n">
        <f aca="false">IF(E120&lt;=D120,"Understaffed",1-POISSON(E120-1,D120,1))</f>
        <v>0.0380290192894296</v>
      </c>
      <c r="G120" s="23" t="n">
        <f aca="false">IF(E120&lt;=D120,0,(1-F120*EXP(-(E120-D120)*Inputs!$C$8/Inputs!$C$6))*100)</f>
        <v>96.7312252044132</v>
      </c>
      <c r="H120" s="24" t="n">
        <f aca="false">ROUNDUP(E120/Inputs!$C$15,0)</f>
        <v>3</v>
      </c>
      <c r="I120" s="23" t="n">
        <f aca="false">IF(E120=0,0,D120/E120*100)</f>
        <v>15.2444444444444</v>
      </c>
      <c r="J120" s="25" t="str">
        <f aca="false">IF(G120&gt;=Inputs!$C$7,"GREEN",IF(G120&gt;=Inputs!$C$7-10,"AMBER","RED"))</f>
        <v>GREEN</v>
      </c>
      <c r="K120" s="20" t="n">
        <v>3.7</v>
      </c>
      <c r="L120" s="20" t="n">
        <v>6.3</v>
      </c>
    </row>
    <row r="121" customFormat="false" ht="15" hidden="false" customHeight="true" outlineLevel="0" collapsed="false">
      <c r="A121" s="26" t="s">
        <v>73</v>
      </c>
      <c r="B121" s="26" t="s">
        <v>54</v>
      </c>
      <c r="C121" s="26" t="n">
        <v>5.4</v>
      </c>
      <c r="D121" s="21" t="n">
        <f aca="false">C121*Inputs!$C$6/3600</f>
        <v>0.336</v>
      </c>
      <c r="E121" s="7" t="n">
        <v>2</v>
      </c>
      <c r="F121" s="22" t="n">
        <f aca="false">IF(E121&lt;=D121,"Understaffed",1-POISSON(E121-1,D121,1))</f>
        <v>0.0452635306297475</v>
      </c>
      <c r="G121" s="23" t="n">
        <f aca="false">IF(E121&lt;=D121,0,(1-F121*EXP(-(E121-D121)*Inputs!$C$8/Inputs!$C$6))*100)</f>
        <v>96.0985623113331</v>
      </c>
      <c r="H121" s="24" t="n">
        <f aca="false">ROUNDUP(E121/Inputs!$C$15,0)</f>
        <v>3</v>
      </c>
      <c r="I121" s="23" t="n">
        <f aca="false">IF(E121=0,0,D121/E121*100)</f>
        <v>16.8</v>
      </c>
      <c r="J121" s="25" t="str">
        <f aca="false">IF(G121&gt;=Inputs!$C$7,"GREEN",IF(G121&gt;=Inputs!$C$7-10,"AMBER","RED"))</f>
        <v>GREEN</v>
      </c>
      <c r="K121" s="26" t="n">
        <v>4.1</v>
      </c>
      <c r="L121" s="26" t="n">
        <v>7</v>
      </c>
    </row>
    <row r="122" customFormat="false" ht="15" hidden="false" customHeight="true" outlineLevel="0" collapsed="false">
      <c r="A122" s="20" t="s">
        <v>73</v>
      </c>
      <c r="B122" s="20" t="s">
        <v>55</v>
      </c>
      <c r="C122" s="20" t="n">
        <v>5.1</v>
      </c>
      <c r="D122" s="21" t="n">
        <f aca="false">C122*Inputs!$C$6/3600</f>
        <v>0.317333333333333</v>
      </c>
      <c r="E122" s="7" t="n">
        <v>2</v>
      </c>
      <c r="F122" s="22" t="n">
        <f aca="false">IF(E122&lt;=D122,"Understaffed",1-POISSON(E122-1,D122,1))</f>
        <v>0.0408653834111161</v>
      </c>
      <c r="G122" s="23" t="n">
        <f aca="false">IF(E122&lt;=D122,0,(1-F122*EXP(-(E122-D122)*Inputs!$C$8/Inputs!$C$6))*100)</f>
        <v>96.4835212103744</v>
      </c>
      <c r="H122" s="24" t="n">
        <f aca="false">ROUNDUP(E122/Inputs!$C$15,0)</f>
        <v>3</v>
      </c>
      <c r="I122" s="23" t="n">
        <f aca="false">IF(E122=0,0,D122/E122*100)</f>
        <v>15.8666666666667</v>
      </c>
      <c r="J122" s="25" t="str">
        <f aca="false">IF(G122&gt;=Inputs!$C$7,"GREEN",IF(G122&gt;=Inputs!$C$7-10,"AMBER","RED"))</f>
        <v>GREEN</v>
      </c>
      <c r="K122" s="20" t="n">
        <v>3.9</v>
      </c>
      <c r="L122" s="20" t="n">
        <v>6.5</v>
      </c>
    </row>
    <row r="123" customFormat="false" ht="15" hidden="false" customHeight="true" outlineLevel="0" collapsed="false">
      <c r="A123" s="26" t="s">
        <v>73</v>
      </c>
      <c r="B123" s="26" t="s">
        <v>56</v>
      </c>
      <c r="C123" s="26" t="n">
        <v>5.5</v>
      </c>
      <c r="D123" s="21" t="n">
        <f aca="false">C123*Inputs!$C$6/3600</f>
        <v>0.342222222222222</v>
      </c>
      <c r="E123" s="7" t="n">
        <v>2</v>
      </c>
      <c r="F123" s="22" t="n">
        <f aca="false">IF(E123&lt;=D123,"Understaffed",1-POISSON(E123-1,D123,1))</f>
        <v>0.0467667072826541</v>
      </c>
      <c r="G123" s="23" t="n">
        <f aca="false">IF(E123&lt;=D123,0,(1-F123*EXP(-(E123-D123)*Inputs!$C$8/Inputs!$C$6))*100)</f>
        <v>95.9667576698329</v>
      </c>
      <c r="H123" s="24" t="n">
        <f aca="false">ROUNDUP(E123/Inputs!$C$15,0)</f>
        <v>3</v>
      </c>
      <c r="I123" s="23" t="n">
        <f aca="false">IF(E123=0,0,D123/E123*100)</f>
        <v>17.1111111111111</v>
      </c>
      <c r="J123" s="25" t="str">
        <f aca="false">IF(G123&gt;=Inputs!$C$7,"GREEN",IF(G123&gt;=Inputs!$C$7-10,"AMBER","RED"))</f>
        <v>GREEN</v>
      </c>
      <c r="K123" s="26" t="n">
        <v>4.2</v>
      </c>
      <c r="L123" s="26" t="n">
        <v>7</v>
      </c>
    </row>
    <row r="124" customFormat="false" ht="15" hidden="false" customHeight="true" outlineLevel="0" collapsed="false">
      <c r="A124" s="20" t="s">
        <v>73</v>
      </c>
      <c r="B124" s="20" t="s">
        <v>57</v>
      </c>
      <c r="C124" s="20" t="n">
        <v>4.6</v>
      </c>
      <c r="D124" s="21" t="n">
        <f aca="false">C124*Inputs!$C$6/3600</f>
        <v>0.286222222222222</v>
      </c>
      <c r="E124" s="7" t="n">
        <v>2</v>
      </c>
      <c r="F124" s="22" t="n">
        <f aca="false">IF(E124&lt;=D124,"Understaffed",1-POISSON(E124-1,D124,1))</f>
        <v>0.0339240360473559</v>
      </c>
      <c r="G124" s="23" t="n">
        <f aca="false">IF(E124&lt;=D124,0,(1-F124*EXP(-(E124-D124)*Inputs!$C$8/Inputs!$C$6))*100)</f>
        <v>97.088923846321</v>
      </c>
      <c r="H124" s="24" t="n">
        <f aca="false">ROUNDUP(E124/Inputs!$C$15,0)</f>
        <v>3</v>
      </c>
      <c r="I124" s="23" t="n">
        <f aca="false">IF(E124=0,0,D124/E124*100)</f>
        <v>14.3111111111111</v>
      </c>
      <c r="J124" s="25" t="str">
        <f aca="false">IF(G124&gt;=Inputs!$C$7,"GREEN",IF(G124&gt;=Inputs!$C$7-10,"AMBER","RED"))</f>
        <v>GREEN</v>
      </c>
      <c r="K124" s="20" t="n">
        <v>3.5</v>
      </c>
      <c r="L124" s="20" t="n">
        <v>5.9</v>
      </c>
    </row>
    <row r="125" customFormat="false" ht="15" hidden="false" customHeight="true" outlineLevel="0" collapsed="false">
      <c r="A125" s="26" t="s">
        <v>73</v>
      </c>
      <c r="B125" s="26" t="s">
        <v>58</v>
      </c>
      <c r="C125" s="26" t="n">
        <v>4.9</v>
      </c>
      <c r="D125" s="21" t="n">
        <f aca="false">C125*Inputs!$C$6/3600</f>
        <v>0.304888888888889</v>
      </c>
      <c r="E125" s="7" t="n">
        <v>2</v>
      </c>
      <c r="F125" s="22" t="n">
        <f aca="false">IF(E125&lt;=D125,"Understaffed",1-POISSON(E125-1,D125,1))</f>
        <v>0.0380290192894296</v>
      </c>
      <c r="G125" s="23" t="n">
        <f aca="false">IF(E125&lt;=D125,0,(1-F125*EXP(-(E125-D125)*Inputs!$C$8/Inputs!$C$6))*100)</f>
        <v>96.7312252044132</v>
      </c>
      <c r="H125" s="24" t="n">
        <f aca="false">ROUNDUP(E125/Inputs!$C$15,0)</f>
        <v>3</v>
      </c>
      <c r="I125" s="23" t="n">
        <f aca="false">IF(E125=0,0,D125/E125*100)</f>
        <v>15.2444444444444</v>
      </c>
      <c r="J125" s="25" t="str">
        <f aca="false">IF(G125&gt;=Inputs!$C$7,"GREEN",IF(G125&gt;=Inputs!$C$7-10,"AMBER","RED"))</f>
        <v>GREEN</v>
      </c>
      <c r="K125" s="26" t="n">
        <v>3.7</v>
      </c>
      <c r="L125" s="26" t="n">
        <v>6.3</v>
      </c>
    </row>
    <row r="126" customFormat="false" ht="15" hidden="false" customHeight="true" outlineLevel="0" collapsed="false">
      <c r="A126" s="20" t="s">
        <v>73</v>
      </c>
      <c r="B126" s="20" t="s">
        <v>59</v>
      </c>
      <c r="C126" s="20" t="n">
        <v>5.2</v>
      </c>
      <c r="D126" s="21" t="n">
        <f aca="false">C126*Inputs!$C$6/3600</f>
        <v>0.323555555555556</v>
      </c>
      <c r="E126" s="7" t="n">
        <v>2</v>
      </c>
      <c r="F126" s="22" t="n">
        <f aca="false">IF(E126&lt;=D126,"Understaffed",1-POISSON(E126-1,D126,1))</f>
        <v>0.0423125793600404</v>
      </c>
      <c r="G126" s="23" t="n">
        <f aca="false">IF(E126&lt;=D126,0,(1-F126*EXP(-(E126-D126)*Inputs!$C$8/Inputs!$C$6))*100)</f>
        <v>96.3569662090607</v>
      </c>
      <c r="H126" s="24" t="n">
        <f aca="false">ROUNDUP(E126/Inputs!$C$15,0)</f>
        <v>3</v>
      </c>
      <c r="I126" s="23" t="n">
        <f aca="false">IF(E126=0,0,D126/E126*100)</f>
        <v>16.1777777777778</v>
      </c>
      <c r="J126" s="25" t="str">
        <f aca="false">IF(G126&gt;=Inputs!$C$7,"GREEN",IF(G126&gt;=Inputs!$C$7-10,"AMBER","RED"))</f>
        <v>GREEN</v>
      </c>
      <c r="K126" s="20" t="n">
        <v>4</v>
      </c>
      <c r="L126" s="20" t="n">
        <v>6.7</v>
      </c>
    </row>
    <row r="127" customFormat="false" ht="15" hidden="false" customHeight="true" outlineLevel="0" collapsed="false">
      <c r="A127" s="26" t="s">
        <v>73</v>
      </c>
      <c r="B127" s="26" t="s">
        <v>60</v>
      </c>
      <c r="C127" s="26" t="n">
        <v>5.4</v>
      </c>
      <c r="D127" s="21" t="n">
        <f aca="false">C127*Inputs!$C$6/3600</f>
        <v>0.336</v>
      </c>
      <c r="E127" s="7" t="n">
        <v>2</v>
      </c>
      <c r="F127" s="22" t="n">
        <f aca="false">IF(E127&lt;=D127,"Understaffed",1-POISSON(E127-1,D127,1))</f>
        <v>0.0452635306297475</v>
      </c>
      <c r="G127" s="23" t="n">
        <f aca="false">IF(E127&lt;=D127,0,(1-F127*EXP(-(E127-D127)*Inputs!$C$8/Inputs!$C$6))*100)</f>
        <v>96.0985623113331</v>
      </c>
      <c r="H127" s="24" t="n">
        <f aca="false">ROUNDUP(E127/Inputs!$C$15,0)</f>
        <v>3</v>
      </c>
      <c r="I127" s="23" t="n">
        <f aca="false">IF(E127=0,0,D127/E127*100)</f>
        <v>16.8</v>
      </c>
      <c r="J127" s="25" t="str">
        <f aca="false">IF(G127&gt;=Inputs!$C$7,"GREEN",IF(G127&gt;=Inputs!$C$7-10,"AMBER","RED"))</f>
        <v>GREEN</v>
      </c>
      <c r="K127" s="26" t="n">
        <v>4.1</v>
      </c>
      <c r="L127" s="26" t="n">
        <v>6.9</v>
      </c>
    </row>
    <row r="128" customFormat="false" ht="15" hidden="false" customHeight="true" outlineLevel="0" collapsed="false">
      <c r="A128" s="20" t="s">
        <v>74</v>
      </c>
      <c r="B128" s="20" t="s">
        <v>52</v>
      </c>
      <c r="C128" s="20" t="n">
        <v>5.8</v>
      </c>
      <c r="D128" s="21" t="n">
        <f aca="false">C128*Inputs!$C$6/3600</f>
        <v>0.360888888888889</v>
      </c>
      <c r="E128" s="7" t="n">
        <v>2</v>
      </c>
      <c r="F128" s="22" t="n">
        <f aca="false">IF(E128&lt;=D128,"Understaffed",1-POISSON(E128-1,D128,1))</f>
        <v>0.0513836292339926</v>
      </c>
      <c r="G128" s="23" t="n">
        <f aca="false">IF(E128&lt;=D128,0,(1-F128*EXP(-(E128-D128)*Inputs!$C$8/Inputs!$C$6))*100)</f>
        <v>95.5611944277516</v>
      </c>
      <c r="H128" s="24" t="n">
        <f aca="false">ROUNDUP(E128/Inputs!$C$15,0)</f>
        <v>3</v>
      </c>
      <c r="I128" s="23" t="n">
        <f aca="false">IF(E128=0,0,D128/E128*100)</f>
        <v>18.0444444444444</v>
      </c>
      <c r="J128" s="25" t="str">
        <f aca="false">IF(G128&gt;=Inputs!$C$7,"GREEN",IF(G128&gt;=Inputs!$C$7-10,"AMBER","RED"))</f>
        <v>GREEN</v>
      </c>
      <c r="K128" s="20" t="n">
        <v>4.6</v>
      </c>
      <c r="L128" s="20" t="n">
        <v>7</v>
      </c>
    </row>
    <row r="129" customFormat="false" ht="15" hidden="false" customHeight="true" outlineLevel="0" collapsed="false">
      <c r="A129" s="26" t="s">
        <v>74</v>
      </c>
      <c r="B129" s="26" t="s">
        <v>53</v>
      </c>
      <c r="C129" s="26" t="n">
        <v>5.6</v>
      </c>
      <c r="D129" s="21" t="n">
        <f aca="false">C129*Inputs!$C$6/3600</f>
        <v>0.348444444444444</v>
      </c>
      <c r="E129" s="7" t="n">
        <v>2</v>
      </c>
      <c r="F129" s="22" t="n">
        <f aca="false">IF(E129&lt;=D129,"Understaffed",1-POISSON(E129-1,D129,1))</f>
        <v>0.048287970274747</v>
      </c>
      <c r="G129" s="23" t="n">
        <f aca="false">IF(E129&lt;=D129,0,(1-F129*EXP(-(E129-D129)*Inputs!$C$8/Inputs!$C$6))*100)</f>
        <v>95.8332470786567</v>
      </c>
      <c r="H129" s="24" t="n">
        <f aca="false">ROUNDUP(E129/Inputs!$C$15,0)</f>
        <v>3</v>
      </c>
      <c r="I129" s="23" t="n">
        <f aca="false">IF(E129=0,0,D129/E129*100)</f>
        <v>17.4222222222222</v>
      </c>
      <c r="J129" s="25" t="str">
        <f aca="false">IF(G129&gt;=Inputs!$C$7,"GREEN",IF(G129&gt;=Inputs!$C$7-10,"AMBER","RED"))</f>
        <v>GREEN</v>
      </c>
      <c r="K129" s="26" t="n">
        <v>4.5</v>
      </c>
      <c r="L129" s="26" t="n">
        <v>6.8</v>
      </c>
    </row>
    <row r="130" customFormat="false" ht="15" hidden="false" customHeight="true" outlineLevel="0" collapsed="false">
      <c r="A130" s="20" t="s">
        <v>74</v>
      </c>
      <c r="B130" s="20" t="s">
        <v>54</v>
      </c>
      <c r="C130" s="20" t="n">
        <v>6.3</v>
      </c>
      <c r="D130" s="21" t="n">
        <f aca="false">C130*Inputs!$C$6/3600</f>
        <v>0.392</v>
      </c>
      <c r="E130" s="7" t="n">
        <v>2</v>
      </c>
      <c r="F130" s="22" t="n">
        <f aca="false">IF(E130&lt;=D130,"Understaffed",1-POISSON(E130-1,D130,1))</f>
        <v>0.0594198733668085</v>
      </c>
      <c r="G130" s="23" t="n">
        <f aca="false">IF(E130&lt;=D130,0,(1-F130*EXP(-(E130-D130)*Inputs!$C$8/Inputs!$C$6))*100)</f>
        <v>94.8527004531687</v>
      </c>
      <c r="H130" s="24" t="n">
        <f aca="false">ROUNDUP(E130/Inputs!$C$15,0)</f>
        <v>3</v>
      </c>
      <c r="I130" s="23" t="n">
        <f aca="false">IF(E130=0,0,D130/E130*100)</f>
        <v>19.6</v>
      </c>
      <c r="J130" s="25" t="str">
        <f aca="false">IF(G130&gt;=Inputs!$C$7,"GREEN",IF(G130&gt;=Inputs!$C$7-10,"AMBER","RED"))</f>
        <v>GREEN</v>
      </c>
      <c r="K130" s="20" t="n">
        <v>5</v>
      </c>
      <c r="L130" s="20" t="n">
        <v>7.6</v>
      </c>
    </row>
    <row r="131" customFormat="false" ht="15" hidden="false" customHeight="true" outlineLevel="0" collapsed="false">
      <c r="A131" s="26" t="s">
        <v>74</v>
      </c>
      <c r="B131" s="26" t="s">
        <v>55</v>
      </c>
      <c r="C131" s="26" t="n">
        <v>5.8</v>
      </c>
      <c r="D131" s="21" t="n">
        <f aca="false">C131*Inputs!$C$6/3600</f>
        <v>0.360888888888889</v>
      </c>
      <c r="E131" s="7" t="n">
        <v>2</v>
      </c>
      <c r="F131" s="22" t="n">
        <f aca="false">IF(E131&lt;=D131,"Understaffed",1-POISSON(E131-1,D131,1))</f>
        <v>0.0513836292339926</v>
      </c>
      <c r="G131" s="23" t="n">
        <f aca="false">IF(E131&lt;=D131,0,(1-F131*EXP(-(E131-D131)*Inputs!$C$8/Inputs!$C$6))*100)</f>
        <v>95.5611944277516</v>
      </c>
      <c r="H131" s="24" t="n">
        <f aca="false">ROUNDUP(E131/Inputs!$C$15,0)</f>
        <v>3</v>
      </c>
      <c r="I131" s="23" t="n">
        <f aca="false">IF(E131=0,0,D131/E131*100)</f>
        <v>18.0444444444444</v>
      </c>
      <c r="J131" s="25" t="str">
        <f aca="false">IF(G131&gt;=Inputs!$C$7,"GREEN",IF(G131&gt;=Inputs!$C$7-10,"AMBER","RED"))</f>
        <v>GREEN</v>
      </c>
      <c r="K131" s="26" t="n">
        <v>4.6</v>
      </c>
      <c r="L131" s="26" t="n">
        <v>7</v>
      </c>
    </row>
    <row r="132" customFormat="false" ht="15" hidden="false" customHeight="true" outlineLevel="0" collapsed="false">
      <c r="A132" s="20" t="s">
        <v>74</v>
      </c>
      <c r="B132" s="20" t="s">
        <v>56</v>
      </c>
      <c r="C132" s="20" t="n">
        <v>6.3</v>
      </c>
      <c r="D132" s="21" t="n">
        <f aca="false">C132*Inputs!$C$6/3600</f>
        <v>0.392</v>
      </c>
      <c r="E132" s="7" t="n">
        <v>2</v>
      </c>
      <c r="F132" s="22" t="n">
        <f aca="false">IF(E132&lt;=D132,"Understaffed",1-POISSON(E132-1,D132,1))</f>
        <v>0.0594198733668085</v>
      </c>
      <c r="G132" s="23" t="n">
        <f aca="false">IF(E132&lt;=D132,0,(1-F132*EXP(-(E132-D132)*Inputs!$C$8/Inputs!$C$6))*100)</f>
        <v>94.8527004531687</v>
      </c>
      <c r="H132" s="24" t="n">
        <f aca="false">ROUNDUP(E132/Inputs!$C$15,0)</f>
        <v>3</v>
      </c>
      <c r="I132" s="23" t="n">
        <f aca="false">IF(E132=0,0,D132/E132*100)</f>
        <v>19.6</v>
      </c>
      <c r="J132" s="25" t="str">
        <f aca="false">IF(G132&gt;=Inputs!$C$7,"GREEN",IF(G132&gt;=Inputs!$C$7-10,"AMBER","RED"))</f>
        <v>GREEN</v>
      </c>
      <c r="K132" s="20" t="n">
        <v>5</v>
      </c>
      <c r="L132" s="20" t="n">
        <v>7.6</v>
      </c>
    </row>
    <row r="133" customFormat="false" ht="15" hidden="false" customHeight="true" outlineLevel="0" collapsed="false">
      <c r="A133" s="26" t="s">
        <v>74</v>
      </c>
      <c r="B133" s="26" t="s">
        <v>57</v>
      </c>
      <c r="C133" s="26" t="n">
        <v>5.3</v>
      </c>
      <c r="D133" s="21" t="n">
        <f aca="false">C133*Inputs!$C$6/3600</f>
        <v>0.329777777777778</v>
      </c>
      <c r="E133" s="7" t="n">
        <v>2</v>
      </c>
      <c r="F133" s="22" t="n">
        <f aca="false">IF(E133&lt;=D133,"Understaffed",1-POISSON(E133-1,D133,1))</f>
        <v>0.0437787253572556</v>
      </c>
      <c r="G133" s="23" t="n">
        <f aca="false">IF(E133&lt;=D133,0,(1-F133*EXP(-(E133-D133)*Inputs!$C$8/Inputs!$C$6))*100)</f>
        <v>96.2286391676252</v>
      </c>
      <c r="H133" s="24" t="n">
        <f aca="false">ROUNDUP(E133/Inputs!$C$15,0)</f>
        <v>3</v>
      </c>
      <c r="I133" s="23" t="n">
        <f aca="false">IF(E133=0,0,D133/E133*100)</f>
        <v>16.4888888888889</v>
      </c>
      <c r="J133" s="25" t="str">
        <f aca="false">IF(G133&gt;=Inputs!$C$7,"GREEN",IF(G133&gt;=Inputs!$C$7-10,"AMBER","RED"))</f>
        <v>GREEN</v>
      </c>
      <c r="K133" s="26" t="n">
        <v>4.2</v>
      </c>
      <c r="L133" s="26" t="n">
        <v>6.4</v>
      </c>
    </row>
    <row r="134" customFormat="false" ht="15" hidden="false" customHeight="true" outlineLevel="0" collapsed="false">
      <c r="A134" s="20" t="s">
        <v>74</v>
      </c>
      <c r="B134" s="20" t="s">
        <v>58</v>
      </c>
      <c r="C134" s="20" t="n">
        <v>5.7</v>
      </c>
      <c r="D134" s="21" t="n">
        <f aca="false">C134*Inputs!$C$6/3600</f>
        <v>0.354666666666667</v>
      </c>
      <c r="E134" s="7" t="n">
        <v>2</v>
      </c>
      <c r="F134" s="22" t="n">
        <f aca="false">IF(E134&lt;=D134,"Understaffed",1-POISSON(E134-1,D134,1))</f>
        <v>0.0498270373941074</v>
      </c>
      <c r="G134" s="23" t="n">
        <f aca="false">IF(E134&lt;=D134,0,(1-F134*EXP(-(E134-D134)*Inputs!$C$8/Inputs!$C$6))*100)</f>
        <v>95.6980521807102</v>
      </c>
      <c r="H134" s="24" t="n">
        <f aca="false">ROUNDUP(E134/Inputs!$C$15,0)</f>
        <v>3</v>
      </c>
      <c r="I134" s="23" t="n">
        <f aca="false">IF(E134=0,0,D134/E134*100)</f>
        <v>17.7333333333333</v>
      </c>
      <c r="J134" s="25" t="str">
        <f aca="false">IF(G134&gt;=Inputs!$C$7,"GREEN",IF(G134&gt;=Inputs!$C$7-10,"AMBER","RED"))</f>
        <v>GREEN</v>
      </c>
      <c r="K134" s="20" t="n">
        <v>4.5</v>
      </c>
      <c r="L134" s="20" t="n">
        <v>6.8</v>
      </c>
    </row>
    <row r="135" customFormat="false" ht="15" hidden="false" customHeight="true" outlineLevel="0" collapsed="false">
      <c r="A135" s="26" t="s">
        <v>74</v>
      </c>
      <c r="B135" s="26" t="s">
        <v>59</v>
      </c>
      <c r="C135" s="26" t="n">
        <v>6</v>
      </c>
      <c r="D135" s="21" t="n">
        <f aca="false">C135*Inputs!$C$6/3600</f>
        <v>0.373333333333333</v>
      </c>
      <c r="E135" s="7" t="n">
        <v>2</v>
      </c>
      <c r="F135" s="22" t="n">
        <f aca="false">IF(E135&lt;=D135,"Understaffed",1-POISSON(E135-1,D135,1))</f>
        <v>0.0545482833307891</v>
      </c>
      <c r="G135" s="23" t="n">
        <f aca="false">IF(E135&lt;=D135,0,(1-F135*EXP(-(E135-D135)*Inputs!$C$8/Inputs!$C$6))*100)</f>
        <v>95.282575216896</v>
      </c>
      <c r="H135" s="24" t="n">
        <f aca="false">ROUNDUP(E135/Inputs!$C$15,0)</f>
        <v>3</v>
      </c>
      <c r="I135" s="23" t="n">
        <f aca="false">IF(E135=0,0,D135/E135*100)</f>
        <v>18.6666666666667</v>
      </c>
      <c r="J135" s="25" t="str">
        <f aca="false">IF(G135&gt;=Inputs!$C$7,"GREEN",IF(G135&gt;=Inputs!$C$7-10,"AMBER","RED"))</f>
        <v>GREEN</v>
      </c>
      <c r="K135" s="26" t="n">
        <v>4.8</v>
      </c>
      <c r="L135" s="26" t="n">
        <v>7.3</v>
      </c>
    </row>
    <row r="136" customFormat="false" ht="15" hidden="false" customHeight="true" outlineLevel="0" collapsed="false">
      <c r="A136" s="20" t="s">
        <v>74</v>
      </c>
      <c r="B136" s="20" t="s">
        <v>60</v>
      </c>
      <c r="C136" s="20" t="n">
        <v>6.2</v>
      </c>
      <c r="D136" s="21" t="n">
        <f aca="false">C136*Inputs!$C$6/3600</f>
        <v>0.385777777777778</v>
      </c>
      <c r="E136" s="7" t="n">
        <v>2</v>
      </c>
      <c r="F136" s="22" t="n">
        <f aca="false">IF(E136&lt;=D136,"Understaffed",1-POISSON(E136-1,D136,1))</f>
        <v>0.0577797525096471</v>
      </c>
      <c r="G136" s="23" t="n">
        <f aca="false">IF(E136&lt;=D136,0,(1-F136*EXP(-(E136-D136)*Inputs!$C$8/Inputs!$C$6))*100)</f>
        <v>94.9975572927541</v>
      </c>
      <c r="H136" s="24" t="n">
        <f aca="false">ROUNDUP(E136/Inputs!$C$15,0)</f>
        <v>3</v>
      </c>
      <c r="I136" s="23" t="n">
        <f aca="false">IF(E136=0,0,D136/E136*100)</f>
        <v>19.2888888888889</v>
      </c>
      <c r="J136" s="25" t="str">
        <f aca="false">IF(G136&gt;=Inputs!$C$7,"GREEN",IF(G136&gt;=Inputs!$C$7-10,"AMBER","RED"))</f>
        <v>GREEN</v>
      </c>
      <c r="K136" s="20" t="n">
        <v>4.9</v>
      </c>
      <c r="L136" s="20" t="n">
        <v>7.5</v>
      </c>
    </row>
    <row r="137" customFormat="false" ht="15" hidden="false" customHeight="true" outlineLevel="0" collapsed="false">
      <c r="A137" s="26" t="s">
        <v>75</v>
      </c>
      <c r="B137" s="26" t="s">
        <v>52</v>
      </c>
      <c r="C137" s="26" t="n">
        <v>5.1</v>
      </c>
      <c r="D137" s="21" t="n">
        <f aca="false">C137*Inputs!$C$6/3600</f>
        <v>0.317333333333333</v>
      </c>
      <c r="E137" s="7" t="n">
        <v>2</v>
      </c>
      <c r="F137" s="22" t="n">
        <f aca="false">IF(E137&lt;=D137,"Understaffed",1-POISSON(E137-1,D137,1))</f>
        <v>0.0408653834111161</v>
      </c>
      <c r="G137" s="23" t="n">
        <f aca="false">IF(E137&lt;=D137,0,(1-F137*EXP(-(E137-D137)*Inputs!$C$8/Inputs!$C$6))*100)</f>
        <v>96.4835212103744</v>
      </c>
      <c r="H137" s="24" t="n">
        <f aca="false">ROUNDUP(E137/Inputs!$C$15,0)</f>
        <v>3</v>
      </c>
      <c r="I137" s="23" t="n">
        <f aca="false">IF(E137=0,0,D137/E137*100)</f>
        <v>15.8666666666667</v>
      </c>
      <c r="J137" s="25" t="str">
        <f aca="false">IF(G137&gt;=Inputs!$C$7,"GREEN",IF(G137&gt;=Inputs!$C$7-10,"AMBER","RED"))</f>
        <v>GREEN</v>
      </c>
      <c r="K137" s="26" t="n">
        <v>3.6</v>
      </c>
      <c r="L137" s="26" t="n">
        <v>6.3</v>
      </c>
    </row>
    <row r="138" customFormat="false" ht="15" hidden="false" customHeight="true" outlineLevel="0" collapsed="false">
      <c r="A138" s="20" t="s">
        <v>75</v>
      </c>
      <c r="B138" s="20" t="s">
        <v>53</v>
      </c>
      <c r="C138" s="20" t="n">
        <v>4.9</v>
      </c>
      <c r="D138" s="21" t="n">
        <f aca="false">C138*Inputs!$C$6/3600</f>
        <v>0.304888888888889</v>
      </c>
      <c r="E138" s="7" t="n">
        <v>2</v>
      </c>
      <c r="F138" s="22" t="n">
        <f aca="false">IF(E138&lt;=D138,"Understaffed",1-POISSON(E138-1,D138,1))</f>
        <v>0.0380290192894296</v>
      </c>
      <c r="G138" s="23" t="n">
        <f aca="false">IF(E138&lt;=D138,0,(1-F138*EXP(-(E138-D138)*Inputs!$C$8/Inputs!$C$6))*100)</f>
        <v>96.7312252044132</v>
      </c>
      <c r="H138" s="24" t="n">
        <f aca="false">ROUNDUP(E138/Inputs!$C$15,0)</f>
        <v>3</v>
      </c>
      <c r="I138" s="23" t="n">
        <f aca="false">IF(E138=0,0,D138/E138*100)</f>
        <v>15.2444444444444</v>
      </c>
      <c r="J138" s="25" t="str">
        <f aca="false">IF(G138&gt;=Inputs!$C$7,"GREEN",IF(G138&gt;=Inputs!$C$7-10,"AMBER","RED"))</f>
        <v>GREEN</v>
      </c>
      <c r="K138" s="20" t="n">
        <v>3.5</v>
      </c>
      <c r="L138" s="20" t="n">
        <v>6</v>
      </c>
    </row>
    <row r="139" customFormat="false" ht="15" hidden="false" customHeight="true" outlineLevel="0" collapsed="false">
      <c r="A139" s="26" t="s">
        <v>75</v>
      </c>
      <c r="B139" s="26" t="s">
        <v>54</v>
      </c>
      <c r="C139" s="26" t="n">
        <v>5.4</v>
      </c>
      <c r="D139" s="21" t="n">
        <f aca="false">C139*Inputs!$C$6/3600</f>
        <v>0.336</v>
      </c>
      <c r="E139" s="7" t="n">
        <v>2</v>
      </c>
      <c r="F139" s="22" t="n">
        <f aca="false">IF(E139&lt;=D139,"Understaffed",1-POISSON(E139-1,D139,1))</f>
        <v>0.0452635306297475</v>
      </c>
      <c r="G139" s="23" t="n">
        <f aca="false">IF(E139&lt;=D139,0,(1-F139*EXP(-(E139-D139)*Inputs!$C$8/Inputs!$C$6))*100)</f>
        <v>96.0985623113331</v>
      </c>
      <c r="H139" s="24" t="n">
        <f aca="false">ROUNDUP(E139/Inputs!$C$15,0)</f>
        <v>3</v>
      </c>
      <c r="I139" s="23" t="n">
        <f aca="false">IF(E139=0,0,D139/E139*100)</f>
        <v>16.8</v>
      </c>
      <c r="J139" s="25" t="str">
        <f aca="false">IF(G139&gt;=Inputs!$C$7,"GREEN",IF(G139&gt;=Inputs!$C$7-10,"AMBER","RED"))</f>
        <v>GREEN</v>
      </c>
      <c r="K139" s="26" t="n">
        <v>3.9</v>
      </c>
      <c r="L139" s="26" t="n">
        <v>6.7</v>
      </c>
    </row>
    <row r="140" customFormat="false" ht="15" hidden="false" customHeight="true" outlineLevel="0" collapsed="false">
      <c r="A140" s="20" t="s">
        <v>75</v>
      </c>
      <c r="B140" s="20" t="s">
        <v>55</v>
      </c>
      <c r="C140" s="20" t="n">
        <v>5.1</v>
      </c>
      <c r="D140" s="21" t="n">
        <f aca="false">C140*Inputs!$C$6/3600</f>
        <v>0.317333333333333</v>
      </c>
      <c r="E140" s="7" t="n">
        <v>2</v>
      </c>
      <c r="F140" s="22" t="n">
        <f aca="false">IF(E140&lt;=D140,"Understaffed",1-POISSON(E140-1,D140,1))</f>
        <v>0.0408653834111161</v>
      </c>
      <c r="G140" s="23" t="n">
        <f aca="false">IF(E140&lt;=D140,0,(1-F140*EXP(-(E140-D140)*Inputs!$C$8/Inputs!$C$6))*100)</f>
        <v>96.4835212103744</v>
      </c>
      <c r="H140" s="24" t="n">
        <f aca="false">ROUNDUP(E140/Inputs!$C$15,0)</f>
        <v>3</v>
      </c>
      <c r="I140" s="23" t="n">
        <f aca="false">IF(E140=0,0,D140/E140*100)</f>
        <v>15.8666666666667</v>
      </c>
      <c r="J140" s="25" t="str">
        <f aca="false">IF(G140&gt;=Inputs!$C$7,"GREEN",IF(G140&gt;=Inputs!$C$7-10,"AMBER","RED"))</f>
        <v>GREEN</v>
      </c>
      <c r="K140" s="20" t="n">
        <v>3.6</v>
      </c>
      <c r="L140" s="20" t="n">
        <v>6.3</v>
      </c>
    </row>
    <row r="141" customFormat="false" ht="15" hidden="false" customHeight="true" outlineLevel="0" collapsed="false">
      <c r="A141" s="26" t="s">
        <v>75</v>
      </c>
      <c r="B141" s="26" t="s">
        <v>56</v>
      </c>
      <c r="C141" s="26" t="n">
        <v>5.5</v>
      </c>
      <c r="D141" s="21" t="n">
        <f aca="false">C141*Inputs!$C$6/3600</f>
        <v>0.342222222222222</v>
      </c>
      <c r="E141" s="7" t="n">
        <v>2</v>
      </c>
      <c r="F141" s="22" t="n">
        <f aca="false">IF(E141&lt;=D141,"Understaffed",1-POISSON(E141-1,D141,1))</f>
        <v>0.0467667072826541</v>
      </c>
      <c r="G141" s="23" t="n">
        <f aca="false">IF(E141&lt;=D141,0,(1-F141*EXP(-(E141-D141)*Inputs!$C$8/Inputs!$C$6))*100)</f>
        <v>95.9667576698329</v>
      </c>
      <c r="H141" s="24" t="n">
        <f aca="false">ROUNDUP(E141/Inputs!$C$15,0)</f>
        <v>3</v>
      </c>
      <c r="I141" s="23" t="n">
        <f aca="false">IF(E141=0,0,D141/E141*100)</f>
        <v>17.1111111111111</v>
      </c>
      <c r="J141" s="25" t="str">
        <f aca="false">IF(G141&gt;=Inputs!$C$7,"GREEN",IF(G141&gt;=Inputs!$C$7-10,"AMBER","RED"))</f>
        <v>GREEN</v>
      </c>
      <c r="K141" s="26" t="n">
        <v>3.9</v>
      </c>
      <c r="L141" s="26" t="n">
        <v>6.8</v>
      </c>
    </row>
    <row r="142" customFormat="false" ht="15" hidden="false" customHeight="true" outlineLevel="0" collapsed="false">
      <c r="A142" s="20" t="s">
        <v>75</v>
      </c>
      <c r="B142" s="20" t="s">
        <v>57</v>
      </c>
      <c r="C142" s="20" t="n">
        <v>4.6</v>
      </c>
      <c r="D142" s="21" t="n">
        <f aca="false">C142*Inputs!$C$6/3600</f>
        <v>0.286222222222222</v>
      </c>
      <c r="E142" s="7" t="n">
        <v>2</v>
      </c>
      <c r="F142" s="22" t="n">
        <f aca="false">IF(E142&lt;=D142,"Understaffed",1-POISSON(E142-1,D142,1))</f>
        <v>0.0339240360473559</v>
      </c>
      <c r="G142" s="23" t="n">
        <f aca="false">IF(E142&lt;=D142,0,(1-F142*EXP(-(E142-D142)*Inputs!$C$8/Inputs!$C$6))*100)</f>
        <v>97.088923846321</v>
      </c>
      <c r="H142" s="24" t="n">
        <f aca="false">ROUNDUP(E142/Inputs!$C$15,0)</f>
        <v>3</v>
      </c>
      <c r="I142" s="23" t="n">
        <f aca="false">IF(E142=0,0,D142/E142*100)</f>
        <v>14.3111111111111</v>
      </c>
      <c r="J142" s="25" t="str">
        <f aca="false">IF(G142&gt;=Inputs!$C$7,"GREEN",IF(G142&gt;=Inputs!$C$7-10,"AMBER","RED"))</f>
        <v>GREEN</v>
      </c>
      <c r="K142" s="20" t="n">
        <v>3.3</v>
      </c>
      <c r="L142" s="20" t="n">
        <v>5.7</v>
      </c>
    </row>
    <row r="143" customFormat="false" ht="15" hidden="false" customHeight="true" outlineLevel="0" collapsed="false">
      <c r="A143" s="26" t="s">
        <v>75</v>
      </c>
      <c r="B143" s="26" t="s">
        <v>58</v>
      </c>
      <c r="C143" s="26" t="n">
        <v>4.9</v>
      </c>
      <c r="D143" s="21" t="n">
        <f aca="false">C143*Inputs!$C$6/3600</f>
        <v>0.304888888888889</v>
      </c>
      <c r="E143" s="7" t="n">
        <v>2</v>
      </c>
      <c r="F143" s="22" t="n">
        <f aca="false">IF(E143&lt;=D143,"Understaffed",1-POISSON(E143-1,D143,1))</f>
        <v>0.0380290192894296</v>
      </c>
      <c r="G143" s="23" t="n">
        <f aca="false">IF(E143&lt;=D143,0,(1-F143*EXP(-(E143-D143)*Inputs!$C$8/Inputs!$C$6))*100)</f>
        <v>96.7312252044132</v>
      </c>
      <c r="H143" s="24" t="n">
        <f aca="false">ROUNDUP(E143/Inputs!$C$15,0)</f>
        <v>3</v>
      </c>
      <c r="I143" s="23" t="n">
        <f aca="false">IF(E143=0,0,D143/E143*100)</f>
        <v>15.2444444444444</v>
      </c>
      <c r="J143" s="25" t="str">
        <f aca="false">IF(G143&gt;=Inputs!$C$7,"GREEN",IF(G143&gt;=Inputs!$C$7-10,"AMBER","RED"))</f>
        <v>GREEN</v>
      </c>
      <c r="K143" s="26" t="n">
        <v>3.5</v>
      </c>
      <c r="L143" s="26" t="n">
        <v>6.1</v>
      </c>
    </row>
    <row r="144" customFormat="false" ht="15" hidden="false" customHeight="true" outlineLevel="0" collapsed="false">
      <c r="A144" s="20" t="s">
        <v>75</v>
      </c>
      <c r="B144" s="20" t="s">
        <v>59</v>
      </c>
      <c r="C144" s="20" t="n">
        <v>5.2</v>
      </c>
      <c r="D144" s="21" t="n">
        <f aca="false">C144*Inputs!$C$6/3600</f>
        <v>0.323555555555556</v>
      </c>
      <c r="E144" s="7" t="n">
        <v>2</v>
      </c>
      <c r="F144" s="22" t="n">
        <f aca="false">IF(E144&lt;=D144,"Understaffed",1-POISSON(E144-1,D144,1))</f>
        <v>0.0423125793600404</v>
      </c>
      <c r="G144" s="23" t="n">
        <f aca="false">IF(E144&lt;=D144,0,(1-F144*EXP(-(E144-D144)*Inputs!$C$8/Inputs!$C$6))*100)</f>
        <v>96.3569662090607</v>
      </c>
      <c r="H144" s="24" t="n">
        <f aca="false">ROUNDUP(E144/Inputs!$C$15,0)</f>
        <v>3</v>
      </c>
      <c r="I144" s="23" t="n">
        <f aca="false">IF(E144=0,0,D144/E144*100)</f>
        <v>16.1777777777778</v>
      </c>
      <c r="J144" s="25" t="str">
        <f aca="false">IF(G144&gt;=Inputs!$C$7,"GREEN",IF(G144&gt;=Inputs!$C$7-10,"AMBER","RED"))</f>
        <v>GREEN</v>
      </c>
      <c r="K144" s="20" t="n">
        <v>3.8</v>
      </c>
      <c r="L144" s="20" t="n">
        <v>6.5</v>
      </c>
    </row>
    <row r="145" customFormat="false" ht="15" hidden="false" customHeight="true" outlineLevel="0" collapsed="false">
      <c r="A145" s="26" t="s">
        <v>75</v>
      </c>
      <c r="B145" s="26" t="s">
        <v>60</v>
      </c>
      <c r="C145" s="26" t="n">
        <v>5.4</v>
      </c>
      <c r="D145" s="21" t="n">
        <f aca="false">C145*Inputs!$C$6/3600</f>
        <v>0.336</v>
      </c>
      <c r="E145" s="7" t="n">
        <v>2</v>
      </c>
      <c r="F145" s="22" t="n">
        <f aca="false">IF(E145&lt;=D145,"Understaffed",1-POISSON(E145-1,D145,1))</f>
        <v>0.0452635306297475</v>
      </c>
      <c r="G145" s="23" t="n">
        <f aca="false">IF(E145&lt;=D145,0,(1-F145*EXP(-(E145-D145)*Inputs!$C$8/Inputs!$C$6))*100)</f>
        <v>96.0985623113331</v>
      </c>
      <c r="H145" s="24" t="n">
        <f aca="false">ROUNDUP(E145/Inputs!$C$15,0)</f>
        <v>3</v>
      </c>
      <c r="I145" s="23" t="n">
        <f aca="false">IF(E145=0,0,D145/E145*100)</f>
        <v>16.8</v>
      </c>
      <c r="J145" s="25" t="str">
        <f aca="false">IF(G145&gt;=Inputs!$C$7,"GREEN",IF(G145&gt;=Inputs!$C$7-10,"AMBER","RED"))</f>
        <v>GREEN</v>
      </c>
      <c r="K145" s="26" t="n">
        <v>3.9</v>
      </c>
      <c r="L145" s="26" t="n">
        <v>6.7</v>
      </c>
    </row>
    <row r="146" customFormat="false" ht="15" hidden="false" customHeight="true" outlineLevel="0" collapsed="false">
      <c r="A146" s="20" t="s">
        <v>76</v>
      </c>
      <c r="B146" s="20" t="s">
        <v>52</v>
      </c>
      <c r="C146" s="20" t="n">
        <v>5.8</v>
      </c>
      <c r="D146" s="21" t="n">
        <f aca="false">C146*Inputs!$C$6/3600</f>
        <v>0.360888888888889</v>
      </c>
      <c r="E146" s="7" t="n">
        <v>2</v>
      </c>
      <c r="F146" s="22" t="n">
        <f aca="false">IF(E146&lt;=D146,"Understaffed",1-POISSON(E146-1,D146,1))</f>
        <v>0.0513836292339926</v>
      </c>
      <c r="G146" s="23" t="n">
        <f aca="false">IF(E146&lt;=D146,0,(1-F146*EXP(-(E146-D146)*Inputs!$C$8/Inputs!$C$6))*100)</f>
        <v>95.5611944277516</v>
      </c>
      <c r="H146" s="24" t="n">
        <f aca="false">ROUNDUP(E146/Inputs!$C$15,0)</f>
        <v>3</v>
      </c>
      <c r="I146" s="23" t="n">
        <f aca="false">IF(E146=0,0,D146/E146*100)</f>
        <v>18.0444444444444</v>
      </c>
      <c r="J146" s="25" t="str">
        <f aca="false">IF(G146&gt;=Inputs!$C$7,"GREEN",IF(G146&gt;=Inputs!$C$7-10,"AMBER","RED"))</f>
        <v>GREEN</v>
      </c>
      <c r="K146" s="20" t="n">
        <v>4.5</v>
      </c>
      <c r="L146" s="20" t="n">
        <v>7.2</v>
      </c>
    </row>
    <row r="147" customFormat="false" ht="15" hidden="false" customHeight="true" outlineLevel="0" collapsed="false">
      <c r="A147" s="26" t="s">
        <v>76</v>
      </c>
      <c r="B147" s="26" t="s">
        <v>53</v>
      </c>
      <c r="C147" s="26" t="n">
        <v>5.6</v>
      </c>
      <c r="D147" s="21" t="n">
        <f aca="false">C147*Inputs!$C$6/3600</f>
        <v>0.348444444444444</v>
      </c>
      <c r="E147" s="7" t="n">
        <v>2</v>
      </c>
      <c r="F147" s="22" t="n">
        <f aca="false">IF(E147&lt;=D147,"Understaffed",1-POISSON(E147-1,D147,1))</f>
        <v>0.048287970274747</v>
      </c>
      <c r="G147" s="23" t="n">
        <f aca="false">IF(E147&lt;=D147,0,(1-F147*EXP(-(E147-D147)*Inputs!$C$8/Inputs!$C$6))*100)</f>
        <v>95.8332470786567</v>
      </c>
      <c r="H147" s="24" t="n">
        <f aca="false">ROUNDUP(E147/Inputs!$C$15,0)</f>
        <v>3</v>
      </c>
      <c r="I147" s="23" t="n">
        <f aca="false">IF(E147=0,0,D147/E147*100)</f>
        <v>17.4222222222222</v>
      </c>
      <c r="J147" s="25" t="str">
        <f aca="false">IF(G147&gt;=Inputs!$C$7,"GREEN",IF(G147&gt;=Inputs!$C$7-10,"AMBER","RED"))</f>
        <v>GREEN</v>
      </c>
      <c r="K147" s="26" t="n">
        <v>4.3</v>
      </c>
      <c r="L147" s="26" t="n">
        <v>6.9</v>
      </c>
    </row>
    <row r="148" customFormat="false" ht="15" hidden="false" customHeight="true" outlineLevel="0" collapsed="false">
      <c r="A148" s="20" t="s">
        <v>76</v>
      </c>
      <c r="B148" s="20" t="s">
        <v>54</v>
      </c>
      <c r="C148" s="20" t="n">
        <v>6.3</v>
      </c>
      <c r="D148" s="21" t="n">
        <f aca="false">C148*Inputs!$C$6/3600</f>
        <v>0.392</v>
      </c>
      <c r="E148" s="7" t="n">
        <v>2</v>
      </c>
      <c r="F148" s="22" t="n">
        <f aca="false">IF(E148&lt;=D148,"Understaffed",1-POISSON(E148-1,D148,1))</f>
        <v>0.0594198733668085</v>
      </c>
      <c r="G148" s="23" t="n">
        <f aca="false">IF(E148&lt;=D148,0,(1-F148*EXP(-(E148-D148)*Inputs!$C$8/Inputs!$C$6))*100)</f>
        <v>94.8527004531687</v>
      </c>
      <c r="H148" s="24" t="n">
        <f aca="false">ROUNDUP(E148/Inputs!$C$15,0)</f>
        <v>3</v>
      </c>
      <c r="I148" s="23" t="n">
        <f aca="false">IF(E148=0,0,D148/E148*100)</f>
        <v>19.6</v>
      </c>
      <c r="J148" s="25" t="str">
        <f aca="false">IF(G148&gt;=Inputs!$C$7,"GREEN",IF(G148&gt;=Inputs!$C$7-10,"AMBER","RED"))</f>
        <v>GREEN</v>
      </c>
      <c r="K148" s="20" t="n">
        <v>4.8</v>
      </c>
      <c r="L148" s="20" t="n">
        <v>7.7</v>
      </c>
    </row>
    <row r="149" customFormat="false" ht="15" hidden="false" customHeight="true" outlineLevel="0" collapsed="false">
      <c r="A149" s="26" t="s">
        <v>76</v>
      </c>
      <c r="B149" s="26" t="s">
        <v>55</v>
      </c>
      <c r="C149" s="26" t="n">
        <v>5.8</v>
      </c>
      <c r="D149" s="21" t="n">
        <f aca="false">C149*Inputs!$C$6/3600</f>
        <v>0.360888888888889</v>
      </c>
      <c r="E149" s="7" t="n">
        <v>2</v>
      </c>
      <c r="F149" s="22" t="n">
        <f aca="false">IF(E149&lt;=D149,"Understaffed",1-POISSON(E149-1,D149,1))</f>
        <v>0.0513836292339926</v>
      </c>
      <c r="G149" s="23" t="n">
        <f aca="false">IF(E149&lt;=D149,0,(1-F149*EXP(-(E149-D149)*Inputs!$C$8/Inputs!$C$6))*100)</f>
        <v>95.5611944277516</v>
      </c>
      <c r="H149" s="24" t="n">
        <f aca="false">ROUNDUP(E149/Inputs!$C$15,0)</f>
        <v>3</v>
      </c>
      <c r="I149" s="23" t="n">
        <f aca="false">IF(E149=0,0,D149/E149*100)</f>
        <v>18.0444444444444</v>
      </c>
      <c r="J149" s="25" t="str">
        <f aca="false">IF(G149&gt;=Inputs!$C$7,"GREEN",IF(G149&gt;=Inputs!$C$7-10,"AMBER","RED"))</f>
        <v>GREEN</v>
      </c>
      <c r="K149" s="26" t="n">
        <v>4.5</v>
      </c>
      <c r="L149" s="26" t="n">
        <v>7.2</v>
      </c>
    </row>
    <row r="150" customFormat="false" ht="15" hidden="false" customHeight="true" outlineLevel="0" collapsed="false">
      <c r="A150" s="20" t="s">
        <v>76</v>
      </c>
      <c r="B150" s="20" t="s">
        <v>56</v>
      </c>
      <c r="C150" s="20" t="n">
        <v>6.3</v>
      </c>
      <c r="D150" s="21" t="n">
        <f aca="false">C150*Inputs!$C$6/3600</f>
        <v>0.392</v>
      </c>
      <c r="E150" s="7" t="n">
        <v>2</v>
      </c>
      <c r="F150" s="22" t="n">
        <f aca="false">IF(E150&lt;=D150,"Understaffed",1-POISSON(E150-1,D150,1))</f>
        <v>0.0594198733668085</v>
      </c>
      <c r="G150" s="23" t="n">
        <f aca="false">IF(E150&lt;=D150,0,(1-F150*EXP(-(E150-D150)*Inputs!$C$8/Inputs!$C$6))*100)</f>
        <v>94.8527004531687</v>
      </c>
      <c r="H150" s="24" t="n">
        <f aca="false">ROUNDUP(E150/Inputs!$C$15,0)</f>
        <v>3</v>
      </c>
      <c r="I150" s="23" t="n">
        <f aca="false">IF(E150=0,0,D150/E150*100)</f>
        <v>19.6</v>
      </c>
      <c r="J150" s="25" t="str">
        <f aca="false">IF(G150&gt;=Inputs!$C$7,"GREEN",IF(G150&gt;=Inputs!$C$7-10,"AMBER","RED"))</f>
        <v>GREEN</v>
      </c>
      <c r="K150" s="20" t="n">
        <v>4.9</v>
      </c>
      <c r="L150" s="20" t="n">
        <v>7.7</v>
      </c>
    </row>
    <row r="151" customFormat="false" ht="15" hidden="false" customHeight="true" outlineLevel="0" collapsed="false">
      <c r="A151" s="26" t="s">
        <v>76</v>
      </c>
      <c r="B151" s="26" t="s">
        <v>57</v>
      </c>
      <c r="C151" s="26" t="n">
        <v>5.3</v>
      </c>
      <c r="D151" s="21" t="n">
        <f aca="false">C151*Inputs!$C$6/3600</f>
        <v>0.329777777777778</v>
      </c>
      <c r="E151" s="7" t="n">
        <v>2</v>
      </c>
      <c r="F151" s="22" t="n">
        <f aca="false">IF(E151&lt;=D151,"Understaffed",1-POISSON(E151-1,D151,1))</f>
        <v>0.0437787253572556</v>
      </c>
      <c r="G151" s="23" t="n">
        <f aca="false">IF(E151&lt;=D151,0,(1-F151*EXP(-(E151-D151)*Inputs!$C$8/Inputs!$C$6))*100)</f>
        <v>96.2286391676252</v>
      </c>
      <c r="H151" s="24" t="n">
        <f aca="false">ROUNDUP(E151/Inputs!$C$15,0)</f>
        <v>3</v>
      </c>
      <c r="I151" s="23" t="n">
        <f aca="false">IF(E151=0,0,D151/E151*100)</f>
        <v>16.4888888888889</v>
      </c>
      <c r="J151" s="25" t="str">
        <f aca="false">IF(G151&gt;=Inputs!$C$7,"GREEN",IF(G151&gt;=Inputs!$C$7-10,"AMBER","RED"))</f>
        <v>GREEN</v>
      </c>
      <c r="K151" s="26" t="n">
        <v>4.1</v>
      </c>
      <c r="L151" s="26" t="n">
        <v>6.5</v>
      </c>
    </row>
    <row r="152" customFormat="false" ht="15" hidden="false" customHeight="true" outlineLevel="0" collapsed="false">
      <c r="A152" s="20" t="s">
        <v>76</v>
      </c>
      <c r="B152" s="20" t="s">
        <v>58</v>
      </c>
      <c r="C152" s="20" t="n">
        <v>5.7</v>
      </c>
      <c r="D152" s="21" t="n">
        <f aca="false">C152*Inputs!$C$6/3600</f>
        <v>0.354666666666667</v>
      </c>
      <c r="E152" s="7" t="n">
        <v>2</v>
      </c>
      <c r="F152" s="22" t="n">
        <f aca="false">IF(E152&lt;=D152,"Understaffed",1-POISSON(E152-1,D152,1))</f>
        <v>0.0498270373941074</v>
      </c>
      <c r="G152" s="23" t="n">
        <f aca="false">IF(E152&lt;=D152,0,(1-F152*EXP(-(E152-D152)*Inputs!$C$8/Inputs!$C$6))*100)</f>
        <v>95.6980521807102</v>
      </c>
      <c r="H152" s="24" t="n">
        <f aca="false">ROUNDUP(E152/Inputs!$C$15,0)</f>
        <v>3</v>
      </c>
      <c r="I152" s="23" t="n">
        <f aca="false">IF(E152=0,0,D152/E152*100)</f>
        <v>17.7333333333333</v>
      </c>
      <c r="J152" s="25" t="str">
        <f aca="false">IF(G152&gt;=Inputs!$C$7,"GREEN",IF(G152&gt;=Inputs!$C$7-10,"AMBER","RED"))</f>
        <v>GREEN</v>
      </c>
      <c r="K152" s="20" t="n">
        <v>4.4</v>
      </c>
      <c r="L152" s="20" t="n">
        <v>7</v>
      </c>
    </row>
    <row r="153" customFormat="false" ht="15" hidden="false" customHeight="true" outlineLevel="0" collapsed="false">
      <c r="A153" s="26" t="s">
        <v>76</v>
      </c>
      <c r="B153" s="26" t="s">
        <v>59</v>
      </c>
      <c r="C153" s="26" t="n">
        <v>6</v>
      </c>
      <c r="D153" s="21" t="n">
        <f aca="false">C153*Inputs!$C$6/3600</f>
        <v>0.373333333333333</v>
      </c>
      <c r="E153" s="7" t="n">
        <v>2</v>
      </c>
      <c r="F153" s="22" t="n">
        <f aca="false">IF(E153&lt;=D153,"Understaffed",1-POISSON(E153-1,D153,1))</f>
        <v>0.0545482833307891</v>
      </c>
      <c r="G153" s="23" t="n">
        <f aca="false">IF(E153&lt;=D153,0,(1-F153*EXP(-(E153-D153)*Inputs!$C$8/Inputs!$C$6))*100)</f>
        <v>95.282575216896</v>
      </c>
      <c r="H153" s="24" t="n">
        <f aca="false">ROUNDUP(E153/Inputs!$C$15,0)</f>
        <v>3</v>
      </c>
      <c r="I153" s="23" t="n">
        <f aca="false">IF(E153=0,0,D153/E153*100)</f>
        <v>18.6666666666667</v>
      </c>
      <c r="J153" s="25" t="str">
        <f aca="false">IF(G153&gt;=Inputs!$C$7,"GREEN",IF(G153&gt;=Inputs!$C$7-10,"AMBER","RED"))</f>
        <v>GREEN</v>
      </c>
      <c r="K153" s="26" t="n">
        <v>4.7</v>
      </c>
      <c r="L153" s="26" t="n">
        <v>7.4</v>
      </c>
    </row>
    <row r="154" customFormat="false" ht="15" hidden="false" customHeight="true" outlineLevel="0" collapsed="false">
      <c r="A154" s="20" t="s">
        <v>76</v>
      </c>
      <c r="B154" s="20" t="s">
        <v>60</v>
      </c>
      <c r="C154" s="20" t="n">
        <v>6.2</v>
      </c>
      <c r="D154" s="21" t="n">
        <f aca="false">C154*Inputs!$C$6/3600</f>
        <v>0.385777777777778</v>
      </c>
      <c r="E154" s="7" t="n">
        <v>2</v>
      </c>
      <c r="F154" s="22" t="n">
        <f aca="false">IF(E154&lt;=D154,"Understaffed",1-POISSON(E154-1,D154,1))</f>
        <v>0.0577797525096471</v>
      </c>
      <c r="G154" s="23" t="n">
        <f aca="false">IF(E154&lt;=D154,0,(1-F154*EXP(-(E154-D154)*Inputs!$C$8/Inputs!$C$6))*100)</f>
        <v>94.9975572927541</v>
      </c>
      <c r="H154" s="24" t="n">
        <f aca="false">ROUNDUP(E154/Inputs!$C$15,0)</f>
        <v>3</v>
      </c>
      <c r="I154" s="23" t="n">
        <f aca="false">IF(E154=0,0,D154/E154*100)</f>
        <v>19.2888888888889</v>
      </c>
      <c r="J154" s="25" t="str">
        <f aca="false">IF(G154&gt;=Inputs!$C$7,"GREEN",IF(G154&gt;=Inputs!$C$7-10,"AMBER","RED"))</f>
        <v>GREEN</v>
      </c>
      <c r="K154" s="20" t="n">
        <v>4.8</v>
      </c>
      <c r="L154" s="20" t="n">
        <v>7.6</v>
      </c>
    </row>
    <row r="155" customFormat="false" ht="15" hidden="false" customHeight="true" outlineLevel="0" collapsed="false">
      <c r="A155" s="26" t="s">
        <v>77</v>
      </c>
      <c r="B155" s="26" t="s">
        <v>52</v>
      </c>
      <c r="C155" s="26" t="n">
        <v>5.4</v>
      </c>
      <c r="D155" s="21" t="n">
        <f aca="false">C155*Inputs!$C$6/3600</f>
        <v>0.336</v>
      </c>
      <c r="E155" s="7" t="n">
        <v>2</v>
      </c>
      <c r="F155" s="22" t="n">
        <f aca="false">IF(E155&lt;=D155,"Understaffed",1-POISSON(E155-1,D155,1))</f>
        <v>0.0452635306297475</v>
      </c>
      <c r="G155" s="23" t="n">
        <f aca="false">IF(E155&lt;=D155,0,(1-F155*EXP(-(E155-D155)*Inputs!$C$8/Inputs!$C$6))*100)</f>
        <v>96.0985623113331</v>
      </c>
      <c r="H155" s="24" t="n">
        <f aca="false">ROUNDUP(E155/Inputs!$C$15,0)</f>
        <v>3</v>
      </c>
      <c r="I155" s="23" t="n">
        <f aca="false">IF(E155=0,0,D155/E155*100)</f>
        <v>16.8</v>
      </c>
      <c r="J155" s="25" t="str">
        <f aca="false">IF(G155&gt;=Inputs!$C$7,"GREEN",IF(G155&gt;=Inputs!$C$7-10,"AMBER","RED"))</f>
        <v>GREEN</v>
      </c>
      <c r="K155" s="26" t="n">
        <v>4</v>
      </c>
      <c r="L155" s="26" t="n">
        <v>6.7</v>
      </c>
    </row>
    <row r="156" customFormat="false" ht="15" hidden="false" customHeight="true" outlineLevel="0" collapsed="false">
      <c r="A156" s="20" t="s">
        <v>77</v>
      </c>
      <c r="B156" s="20" t="s">
        <v>53</v>
      </c>
      <c r="C156" s="20" t="n">
        <v>5.2</v>
      </c>
      <c r="D156" s="21" t="n">
        <f aca="false">C156*Inputs!$C$6/3600</f>
        <v>0.323555555555556</v>
      </c>
      <c r="E156" s="7" t="n">
        <v>2</v>
      </c>
      <c r="F156" s="22" t="n">
        <f aca="false">IF(E156&lt;=D156,"Understaffed",1-POISSON(E156-1,D156,1))</f>
        <v>0.0423125793600404</v>
      </c>
      <c r="G156" s="23" t="n">
        <f aca="false">IF(E156&lt;=D156,0,(1-F156*EXP(-(E156-D156)*Inputs!$C$8/Inputs!$C$6))*100)</f>
        <v>96.3569662090607</v>
      </c>
      <c r="H156" s="24" t="n">
        <f aca="false">ROUNDUP(E156/Inputs!$C$15,0)</f>
        <v>3</v>
      </c>
      <c r="I156" s="23" t="n">
        <f aca="false">IF(E156=0,0,D156/E156*100)</f>
        <v>16.1777777777778</v>
      </c>
      <c r="J156" s="25" t="str">
        <f aca="false">IF(G156&gt;=Inputs!$C$7,"GREEN",IF(G156&gt;=Inputs!$C$7-10,"AMBER","RED"))</f>
        <v>GREEN</v>
      </c>
      <c r="K156" s="20" t="n">
        <v>3.8</v>
      </c>
      <c r="L156" s="20" t="n">
        <v>6.5</v>
      </c>
    </row>
    <row r="157" customFormat="false" ht="15" hidden="false" customHeight="true" outlineLevel="0" collapsed="false">
      <c r="A157" s="26" t="s">
        <v>77</v>
      </c>
      <c r="B157" s="26" t="s">
        <v>54</v>
      </c>
      <c r="C157" s="26" t="n">
        <v>5.8</v>
      </c>
      <c r="D157" s="21" t="n">
        <f aca="false">C157*Inputs!$C$6/3600</f>
        <v>0.360888888888889</v>
      </c>
      <c r="E157" s="7" t="n">
        <v>2</v>
      </c>
      <c r="F157" s="22" t="n">
        <f aca="false">IF(E157&lt;=D157,"Understaffed",1-POISSON(E157-1,D157,1))</f>
        <v>0.0513836292339926</v>
      </c>
      <c r="G157" s="23" t="n">
        <f aca="false">IF(E157&lt;=D157,0,(1-F157*EXP(-(E157-D157)*Inputs!$C$8/Inputs!$C$6))*100)</f>
        <v>95.5611944277516</v>
      </c>
      <c r="H157" s="24" t="n">
        <f aca="false">ROUNDUP(E157/Inputs!$C$15,0)</f>
        <v>3</v>
      </c>
      <c r="I157" s="23" t="n">
        <f aca="false">IF(E157=0,0,D157/E157*100)</f>
        <v>18.0444444444444</v>
      </c>
      <c r="J157" s="25" t="str">
        <f aca="false">IF(G157&gt;=Inputs!$C$7,"GREEN",IF(G157&gt;=Inputs!$C$7-10,"AMBER","RED"))</f>
        <v>GREEN</v>
      </c>
      <c r="K157" s="26" t="n">
        <v>4.2</v>
      </c>
      <c r="L157" s="26" t="n">
        <v>7.2</v>
      </c>
    </row>
    <row r="158" customFormat="false" ht="15" hidden="false" customHeight="true" outlineLevel="0" collapsed="false">
      <c r="A158" s="20" t="s">
        <v>77</v>
      </c>
      <c r="B158" s="20" t="s">
        <v>55</v>
      </c>
      <c r="C158" s="20" t="n">
        <v>5.4</v>
      </c>
      <c r="D158" s="21" t="n">
        <f aca="false">C158*Inputs!$C$6/3600</f>
        <v>0.336</v>
      </c>
      <c r="E158" s="7" t="n">
        <v>2</v>
      </c>
      <c r="F158" s="22" t="n">
        <f aca="false">IF(E158&lt;=D158,"Understaffed",1-POISSON(E158-1,D158,1))</f>
        <v>0.0452635306297475</v>
      </c>
      <c r="G158" s="23" t="n">
        <f aca="false">IF(E158&lt;=D158,0,(1-F158*EXP(-(E158-D158)*Inputs!$C$8/Inputs!$C$6))*100)</f>
        <v>96.0985623113331</v>
      </c>
      <c r="H158" s="24" t="n">
        <f aca="false">ROUNDUP(E158/Inputs!$C$15,0)</f>
        <v>3</v>
      </c>
      <c r="I158" s="23" t="n">
        <f aca="false">IF(E158=0,0,D158/E158*100)</f>
        <v>16.8</v>
      </c>
      <c r="J158" s="25" t="str">
        <f aca="false">IF(G158&gt;=Inputs!$C$7,"GREEN",IF(G158&gt;=Inputs!$C$7-10,"AMBER","RED"))</f>
        <v>GREEN</v>
      </c>
      <c r="K158" s="20" t="n">
        <v>4</v>
      </c>
      <c r="L158" s="20" t="n">
        <v>6.7</v>
      </c>
    </row>
    <row r="159" customFormat="false" ht="15" hidden="false" customHeight="true" outlineLevel="0" collapsed="false">
      <c r="A159" s="26" t="s">
        <v>77</v>
      </c>
      <c r="B159" s="26" t="s">
        <v>56</v>
      </c>
      <c r="C159" s="26" t="n">
        <v>5.8</v>
      </c>
      <c r="D159" s="21" t="n">
        <f aca="false">C159*Inputs!$C$6/3600</f>
        <v>0.360888888888889</v>
      </c>
      <c r="E159" s="7" t="n">
        <v>2</v>
      </c>
      <c r="F159" s="22" t="n">
        <f aca="false">IF(E159&lt;=D159,"Understaffed",1-POISSON(E159-1,D159,1))</f>
        <v>0.0513836292339926</v>
      </c>
      <c r="G159" s="23" t="n">
        <f aca="false">IF(E159&lt;=D159,0,(1-F159*EXP(-(E159-D159)*Inputs!$C$8/Inputs!$C$6))*100)</f>
        <v>95.5611944277516</v>
      </c>
      <c r="H159" s="24" t="n">
        <f aca="false">ROUNDUP(E159/Inputs!$C$15,0)</f>
        <v>3</v>
      </c>
      <c r="I159" s="23" t="n">
        <f aca="false">IF(E159=0,0,D159/E159*100)</f>
        <v>18.0444444444444</v>
      </c>
      <c r="J159" s="25" t="str">
        <f aca="false">IF(G159&gt;=Inputs!$C$7,"GREEN",IF(G159&gt;=Inputs!$C$7-10,"AMBER","RED"))</f>
        <v>GREEN</v>
      </c>
      <c r="K159" s="26" t="n">
        <v>4.3</v>
      </c>
      <c r="L159" s="26" t="n">
        <v>7.3</v>
      </c>
    </row>
    <row r="160" customFormat="false" ht="15" hidden="false" customHeight="true" outlineLevel="0" collapsed="false">
      <c r="A160" s="20" t="s">
        <v>77</v>
      </c>
      <c r="B160" s="20" t="s">
        <v>57</v>
      </c>
      <c r="C160" s="20" t="n">
        <v>4.9</v>
      </c>
      <c r="D160" s="21" t="n">
        <f aca="false">C160*Inputs!$C$6/3600</f>
        <v>0.304888888888889</v>
      </c>
      <c r="E160" s="7" t="n">
        <v>2</v>
      </c>
      <c r="F160" s="22" t="n">
        <f aca="false">IF(E160&lt;=D160,"Understaffed",1-POISSON(E160-1,D160,1))</f>
        <v>0.0380290192894296</v>
      </c>
      <c r="G160" s="23" t="n">
        <f aca="false">IF(E160&lt;=D160,0,(1-F160*EXP(-(E160-D160)*Inputs!$C$8/Inputs!$C$6))*100)</f>
        <v>96.7312252044132</v>
      </c>
      <c r="H160" s="24" t="n">
        <f aca="false">ROUNDUP(E160/Inputs!$C$15,0)</f>
        <v>3</v>
      </c>
      <c r="I160" s="23" t="n">
        <f aca="false">IF(E160=0,0,D160/E160*100)</f>
        <v>15.2444444444444</v>
      </c>
      <c r="J160" s="25" t="str">
        <f aca="false">IF(G160&gt;=Inputs!$C$7,"GREEN",IF(G160&gt;=Inputs!$C$7-10,"AMBER","RED"))</f>
        <v>GREEN</v>
      </c>
      <c r="K160" s="20" t="n">
        <v>3.6</v>
      </c>
      <c r="L160" s="20" t="n">
        <v>6.1</v>
      </c>
    </row>
    <row r="161" customFormat="false" ht="15" hidden="false" customHeight="true" outlineLevel="0" collapsed="false">
      <c r="A161" s="26" t="s">
        <v>77</v>
      </c>
      <c r="B161" s="26" t="s">
        <v>58</v>
      </c>
      <c r="C161" s="26" t="n">
        <v>5.2</v>
      </c>
      <c r="D161" s="21" t="n">
        <f aca="false">C161*Inputs!$C$6/3600</f>
        <v>0.323555555555556</v>
      </c>
      <c r="E161" s="7" t="n">
        <v>2</v>
      </c>
      <c r="F161" s="22" t="n">
        <f aca="false">IF(E161&lt;=D161,"Understaffed",1-POISSON(E161-1,D161,1))</f>
        <v>0.0423125793600404</v>
      </c>
      <c r="G161" s="23" t="n">
        <f aca="false">IF(E161&lt;=D161,0,(1-F161*EXP(-(E161-D161)*Inputs!$C$8/Inputs!$C$6))*100)</f>
        <v>96.3569662090607</v>
      </c>
      <c r="H161" s="24" t="n">
        <f aca="false">ROUNDUP(E161/Inputs!$C$15,0)</f>
        <v>3</v>
      </c>
      <c r="I161" s="23" t="n">
        <f aca="false">IF(E161=0,0,D161/E161*100)</f>
        <v>16.1777777777778</v>
      </c>
      <c r="J161" s="25" t="str">
        <f aca="false">IF(G161&gt;=Inputs!$C$7,"GREEN",IF(G161&gt;=Inputs!$C$7-10,"AMBER","RED"))</f>
        <v>GREEN</v>
      </c>
      <c r="K161" s="26" t="n">
        <v>3.9</v>
      </c>
      <c r="L161" s="26" t="n">
        <v>6.5</v>
      </c>
    </row>
    <row r="162" customFormat="false" ht="15" hidden="false" customHeight="true" outlineLevel="0" collapsed="false">
      <c r="A162" s="20" t="s">
        <v>77</v>
      </c>
      <c r="B162" s="20" t="s">
        <v>59</v>
      </c>
      <c r="C162" s="20" t="n">
        <v>5.6</v>
      </c>
      <c r="D162" s="21" t="n">
        <f aca="false">C162*Inputs!$C$6/3600</f>
        <v>0.348444444444444</v>
      </c>
      <c r="E162" s="7" t="n">
        <v>2</v>
      </c>
      <c r="F162" s="22" t="n">
        <f aca="false">IF(E162&lt;=D162,"Understaffed",1-POISSON(E162-1,D162,1))</f>
        <v>0.048287970274747</v>
      </c>
      <c r="G162" s="23" t="n">
        <f aca="false">IF(E162&lt;=D162,0,(1-F162*EXP(-(E162-D162)*Inputs!$C$8/Inputs!$C$6))*100)</f>
        <v>95.8332470786567</v>
      </c>
      <c r="H162" s="24" t="n">
        <f aca="false">ROUNDUP(E162/Inputs!$C$15,0)</f>
        <v>3</v>
      </c>
      <c r="I162" s="23" t="n">
        <f aca="false">IF(E162=0,0,D162/E162*100)</f>
        <v>17.4222222222222</v>
      </c>
      <c r="J162" s="25" t="str">
        <f aca="false">IF(G162&gt;=Inputs!$C$7,"GREEN",IF(G162&gt;=Inputs!$C$7-10,"AMBER","RED"))</f>
        <v>GREEN</v>
      </c>
      <c r="K162" s="20" t="n">
        <v>4.1</v>
      </c>
      <c r="L162" s="20" t="n">
        <v>7</v>
      </c>
    </row>
    <row r="163" customFormat="false" ht="15" hidden="false" customHeight="true" outlineLevel="0" collapsed="false">
      <c r="A163" s="26" t="s">
        <v>77</v>
      </c>
      <c r="B163" s="26" t="s">
        <v>60</v>
      </c>
      <c r="C163" s="26" t="n">
        <v>5.7</v>
      </c>
      <c r="D163" s="21" t="n">
        <f aca="false">C163*Inputs!$C$6/3600</f>
        <v>0.354666666666667</v>
      </c>
      <c r="E163" s="7" t="n">
        <v>2</v>
      </c>
      <c r="F163" s="22" t="n">
        <f aca="false">IF(E163&lt;=D163,"Understaffed",1-POISSON(E163-1,D163,1))</f>
        <v>0.0498270373941074</v>
      </c>
      <c r="G163" s="23" t="n">
        <f aca="false">IF(E163&lt;=D163,0,(1-F163*EXP(-(E163-D163)*Inputs!$C$8/Inputs!$C$6))*100)</f>
        <v>95.6980521807102</v>
      </c>
      <c r="H163" s="24" t="n">
        <f aca="false">ROUNDUP(E163/Inputs!$C$15,0)</f>
        <v>3</v>
      </c>
      <c r="I163" s="23" t="n">
        <f aca="false">IF(E163=0,0,D163/E163*100)</f>
        <v>17.7333333333333</v>
      </c>
      <c r="J163" s="25" t="str">
        <f aca="false">IF(G163&gt;=Inputs!$C$7,"GREEN",IF(G163&gt;=Inputs!$C$7-10,"AMBER","RED"))</f>
        <v>GREEN</v>
      </c>
      <c r="K163" s="26" t="n">
        <v>4.2</v>
      </c>
      <c r="L163" s="26" t="n">
        <v>7.1</v>
      </c>
    </row>
    <row r="164" customFormat="false" ht="15" hidden="false" customHeight="true" outlineLevel="0" collapsed="false">
      <c r="A164" s="20" t="s">
        <v>78</v>
      </c>
      <c r="B164" s="20" t="s">
        <v>52</v>
      </c>
      <c r="C164" s="20" t="n">
        <v>5.8</v>
      </c>
      <c r="D164" s="21" t="n">
        <f aca="false">C164*Inputs!$C$6/3600</f>
        <v>0.360888888888889</v>
      </c>
      <c r="E164" s="7" t="n">
        <v>2</v>
      </c>
      <c r="F164" s="22" t="n">
        <f aca="false">IF(E164&lt;=D164,"Understaffed",1-POISSON(E164-1,D164,1))</f>
        <v>0.0513836292339926</v>
      </c>
      <c r="G164" s="23" t="n">
        <f aca="false">IF(E164&lt;=D164,0,(1-F164*EXP(-(E164-D164)*Inputs!$C$8/Inputs!$C$6))*100)</f>
        <v>95.5611944277516</v>
      </c>
      <c r="H164" s="24" t="n">
        <f aca="false">ROUNDUP(E164/Inputs!$C$15,0)</f>
        <v>3</v>
      </c>
      <c r="I164" s="23" t="n">
        <f aca="false">IF(E164=0,0,D164/E164*100)</f>
        <v>18.0444444444444</v>
      </c>
      <c r="J164" s="25" t="str">
        <f aca="false">IF(G164&gt;=Inputs!$C$7,"GREEN",IF(G164&gt;=Inputs!$C$7-10,"AMBER","RED"))</f>
        <v>GREEN</v>
      </c>
      <c r="K164" s="20" t="n">
        <v>4.5</v>
      </c>
      <c r="L164" s="20" t="n">
        <v>7.2</v>
      </c>
    </row>
    <row r="165" customFormat="false" ht="15" hidden="false" customHeight="true" outlineLevel="0" collapsed="false">
      <c r="A165" s="26" t="s">
        <v>78</v>
      </c>
      <c r="B165" s="26" t="s">
        <v>53</v>
      </c>
      <c r="C165" s="26" t="n">
        <v>5.6</v>
      </c>
      <c r="D165" s="21" t="n">
        <f aca="false">C165*Inputs!$C$6/3600</f>
        <v>0.348444444444444</v>
      </c>
      <c r="E165" s="7" t="n">
        <v>2</v>
      </c>
      <c r="F165" s="22" t="n">
        <f aca="false">IF(E165&lt;=D165,"Understaffed",1-POISSON(E165-1,D165,1))</f>
        <v>0.048287970274747</v>
      </c>
      <c r="G165" s="23" t="n">
        <f aca="false">IF(E165&lt;=D165,0,(1-F165*EXP(-(E165-D165)*Inputs!$C$8/Inputs!$C$6))*100)</f>
        <v>95.8332470786567</v>
      </c>
      <c r="H165" s="24" t="n">
        <f aca="false">ROUNDUP(E165/Inputs!$C$15,0)</f>
        <v>3</v>
      </c>
      <c r="I165" s="23" t="n">
        <f aca="false">IF(E165=0,0,D165/E165*100)</f>
        <v>17.4222222222222</v>
      </c>
      <c r="J165" s="25" t="str">
        <f aca="false">IF(G165&gt;=Inputs!$C$7,"GREEN",IF(G165&gt;=Inputs!$C$7-10,"AMBER","RED"))</f>
        <v>GREEN</v>
      </c>
      <c r="K165" s="26" t="n">
        <v>4.3</v>
      </c>
      <c r="L165" s="26" t="n">
        <v>6.9</v>
      </c>
    </row>
    <row r="166" customFormat="false" ht="15" hidden="false" customHeight="true" outlineLevel="0" collapsed="false">
      <c r="A166" s="20" t="s">
        <v>78</v>
      </c>
      <c r="B166" s="20" t="s">
        <v>54</v>
      </c>
      <c r="C166" s="20" t="n">
        <v>6.3</v>
      </c>
      <c r="D166" s="21" t="n">
        <f aca="false">C166*Inputs!$C$6/3600</f>
        <v>0.392</v>
      </c>
      <c r="E166" s="7" t="n">
        <v>2</v>
      </c>
      <c r="F166" s="22" t="n">
        <f aca="false">IF(E166&lt;=D166,"Understaffed",1-POISSON(E166-1,D166,1))</f>
        <v>0.0594198733668085</v>
      </c>
      <c r="G166" s="23" t="n">
        <f aca="false">IF(E166&lt;=D166,0,(1-F166*EXP(-(E166-D166)*Inputs!$C$8/Inputs!$C$6))*100)</f>
        <v>94.8527004531687</v>
      </c>
      <c r="H166" s="24" t="n">
        <f aca="false">ROUNDUP(E166/Inputs!$C$15,0)</f>
        <v>3</v>
      </c>
      <c r="I166" s="23" t="n">
        <f aca="false">IF(E166=0,0,D166/E166*100)</f>
        <v>19.6</v>
      </c>
      <c r="J166" s="25" t="str">
        <f aca="false">IF(G166&gt;=Inputs!$C$7,"GREEN",IF(G166&gt;=Inputs!$C$7-10,"AMBER","RED"))</f>
        <v>GREEN</v>
      </c>
      <c r="K166" s="20" t="n">
        <v>4.8</v>
      </c>
      <c r="L166" s="20" t="n">
        <v>7.7</v>
      </c>
    </row>
    <row r="167" customFormat="false" ht="15" hidden="false" customHeight="true" outlineLevel="0" collapsed="false">
      <c r="A167" s="26" t="s">
        <v>78</v>
      </c>
      <c r="B167" s="26" t="s">
        <v>55</v>
      </c>
      <c r="C167" s="26" t="n">
        <v>5.8</v>
      </c>
      <c r="D167" s="21" t="n">
        <f aca="false">C167*Inputs!$C$6/3600</f>
        <v>0.360888888888889</v>
      </c>
      <c r="E167" s="7" t="n">
        <v>2</v>
      </c>
      <c r="F167" s="22" t="n">
        <f aca="false">IF(E167&lt;=D167,"Understaffed",1-POISSON(E167-1,D167,1))</f>
        <v>0.0513836292339926</v>
      </c>
      <c r="G167" s="23" t="n">
        <f aca="false">IF(E167&lt;=D167,0,(1-F167*EXP(-(E167-D167)*Inputs!$C$8/Inputs!$C$6))*100)</f>
        <v>95.5611944277516</v>
      </c>
      <c r="H167" s="24" t="n">
        <f aca="false">ROUNDUP(E167/Inputs!$C$15,0)</f>
        <v>3</v>
      </c>
      <c r="I167" s="23" t="n">
        <f aca="false">IF(E167=0,0,D167/E167*100)</f>
        <v>18.0444444444444</v>
      </c>
      <c r="J167" s="25" t="str">
        <f aca="false">IF(G167&gt;=Inputs!$C$7,"GREEN",IF(G167&gt;=Inputs!$C$7-10,"AMBER","RED"))</f>
        <v>GREEN</v>
      </c>
      <c r="K167" s="26" t="n">
        <v>4.5</v>
      </c>
      <c r="L167" s="26" t="n">
        <v>7.2</v>
      </c>
    </row>
    <row r="168" customFormat="false" ht="15" hidden="false" customHeight="true" outlineLevel="0" collapsed="false">
      <c r="A168" s="20" t="s">
        <v>78</v>
      </c>
      <c r="B168" s="20" t="s">
        <v>56</v>
      </c>
      <c r="C168" s="20" t="n">
        <v>6.3</v>
      </c>
      <c r="D168" s="21" t="n">
        <f aca="false">C168*Inputs!$C$6/3600</f>
        <v>0.392</v>
      </c>
      <c r="E168" s="7" t="n">
        <v>2</v>
      </c>
      <c r="F168" s="22" t="n">
        <f aca="false">IF(E168&lt;=D168,"Understaffed",1-POISSON(E168-1,D168,1))</f>
        <v>0.0594198733668085</v>
      </c>
      <c r="G168" s="23" t="n">
        <f aca="false">IF(E168&lt;=D168,0,(1-F168*EXP(-(E168-D168)*Inputs!$C$8/Inputs!$C$6))*100)</f>
        <v>94.8527004531687</v>
      </c>
      <c r="H168" s="24" t="n">
        <f aca="false">ROUNDUP(E168/Inputs!$C$15,0)</f>
        <v>3</v>
      </c>
      <c r="I168" s="23" t="n">
        <f aca="false">IF(E168=0,0,D168/E168*100)</f>
        <v>19.6</v>
      </c>
      <c r="J168" s="25" t="str">
        <f aca="false">IF(G168&gt;=Inputs!$C$7,"GREEN",IF(G168&gt;=Inputs!$C$7-10,"AMBER","RED"))</f>
        <v>GREEN</v>
      </c>
      <c r="K168" s="20" t="n">
        <v>4.9</v>
      </c>
      <c r="L168" s="20" t="n">
        <v>7.7</v>
      </c>
    </row>
    <row r="169" customFormat="false" ht="15" hidden="false" customHeight="true" outlineLevel="0" collapsed="false">
      <c r="A169" s="26" t="s">
        <v>78</v>
      </c>
      <c r="B169" s="26" t="s">
        <v>57</v>
      </c>
      <c r="C169" s="26" t="n">
        <v>5.3</v>
      </c>
      <c r="D169" s="21" t="n">
        <f aca="false">C169*Inputs!$C$6/3600</f>
        <v>0.329777777777778</v>
      </c>
      <c r="E169" s="7" t="n">
        <v>2</v>
      </c>
      <c r="F169" s="22" t="n">
        <f aca="false">IF(E169&lt;=D169,"Understaffed",1-POISSON(E169-1,D169,1))</f>
        <v>0.0437787253572556</v>
      </c>
      <c r="G169" s="23" t="n">
        <f aca="false">IF(E169&lt;=D169,0,(1-F169*EXP(-(E169-D169)*Inputs!$C$8/Inputs!$C$6))*100)</f>
        <v>96.2286391676252</v>
      </c>
      <c r="H169" s="24" t="n">
        <f aca="false">ROUNDUP(E169/Inputs!$C$15,0)</f>
        <v>3</v>
      </c>
      <c r="I169" s="23" t="n">
        <f aca="false">IF(E169=0,0,D169/E169*100)</f>
        <v>16.4888888888889</v>
      </c>
      <c r="J169" s="25" t="str">
        <f aca="false">IF(G169&gt;=Inputs!$C$7,"GREEN",IF(G169&gt;=Inputs!$C$7-10,"AMBER","RED"))</f>
        <v>GREEN</v>
      </c>
      <c r="K169" s="26" t="n">
        <v>4.1</v>
      </c>
      <c r="L169" s="26" t="n">
        <v>6.5</v>
      </c>
    </row>
    <row r="170" customFormat="false" ht="15" hidden="false" customHeight="true" outlineLevel="0" collapsed="false">
      <c r="A170" s="20" t="s">
        <v>78</v>
      </c>
      <c r="B170" s="20" t="s">
        <v>58</v>
      </c>
      <c r="C170" s="20" t="n">
        <v>5.7</v>
      </c>
      <c r="D170" s="21" t="n">
        <f aca="false">C170*Inputs!$C$6/3600</f>
        <v>0.354666666666667</v>
      </c>
      <c r="E170" s="7" t="n">
        <v>2</v>
      </c>
      <c r="F170" s="22" t="n">
        <f aca="false">IF(E170&lt;=D170,"Understaffed",1-POISSON(E170-1,D170,1))</f>
        <v>0.0498270373941074</v>
      </c>
      <c r="G170" s="23" t="n">
        <f aca="false">IF(E170&lt;=D170,0,(1-F170*EXP(-(E170-D170)*Inputs!$C$8/Inputs!$C$6))*100)</f>
        <v>95.6980521807102</v>
      </c>
      <c r="H170" s="24" t="n">
        <f aca="false">ROUNDUP(E170/Inputs!$C$15,0)</f>
        <v>3</v>
      </c>
      <c r="I170" s="23" t="n">
        <f aca="false">IF(E170=0,0,D170/E170*100)</f>
        <v>17.7333333333333</v>
      </c>
      <c r="J170" s="25" t="str">
        <f aca="false">IF(G170&gt;=Inputs!$C$7,"GREEN",IF(G170&gt;=Inputs!$C$7-10,"AMBER","RED"))</f>
        <v>GREEN</v>
      </c>
      <c r="K170" s="20" t="n">
        <v>4.4</v>
      </c>
      <c r="L170" s="20" t="n">
        <v>7</v>
      </c>
    </row>
    <row r="171" customFormat="false" ht="15" hidden="false" customHeight="true" outlineLevel="0" collapsed="false">
      <c r="A171" s="26" t="s">
        <v>78</v>
      </c>
      <c r="B171" s="26" t="s">
        <v>59</v>
      </c>
      <c r="C171" s="26" t="n">
        <v>6</v>
      </c>
      <c r="D171" s="21" t="n">
        <f aca="false">C171*Inputs!$C$6/3600</f>
        <v>0.373333333333333</v>
      </c>
      <c r="E171" s="7" t="n">
        <v>2</v>
      </c>
      <c r="F171" s="22" t="n">
        <f aca="false">IF(E171&lt;=D171,"Understaffed",1-POISSON(E171-1,D171,1))</f>
        <v>0.0545482833307891</v>
      </c>
      <c r="G171" s="23" t="n">
        <f aca="false">IF(E171&lt;=D171,0,(1-F171*EXP(-(E171-D171)*Inputs!$C$8/Inputs!$C$6))*100)</f>
        <v>95.282575216896</v>
      </c>
      <c r="H171" s="24" t="n">
        <f aca="false">ROUNDUP(E171/Inputs!$C$15,0)</f>
        <v>3</v>
      </c>
      <c r="I171" s="23" t="n">
        <f aca="false">IF(E171=0,0,D171/E171*100)</f>
        <v>18.6666666666667</v>
      </c>
      <c r="J171" s="25" t="str">
        <f aca="false">IF(G171&gt;=Inputs!$C$7,"GREEN",IF(G171&gt;=Inputs!$C$7-10,"AMBER","RED"))</f>
        <v>GREEN</v>
      </c>
      <c r="K171" s="26" t="n">
        <v>4.7</v>
      </c>
      <c r="L171" s="26" t="n">
        <v>7.4</v>
      </c>
    </row>
    <row r="172" customFormat="false" ht="15" hidden="false" customHeight="true" outlineLevel="0" collapsed="false">
      <c r="A172" s="20" t="s">
        <v>78</v>
      </c>
      <c r="B172" s="20" t="s">
        <v>60</v>
      </c>
      <c r="C172" s="20" t="n">
        <v>6.2</v>
      </c>
      <c r="D172" s="21" t="n">
        <f aca="false">C172*Inputs!$C$6/3600</f>
        <v>0.385777777777778</v>
      </c>
      <c r="E172" s="7" t="n">
        <v>2</v>
      </c>
      <c r="F172" s="22" t="n">
        <f aca="false">IF(E172&lt;=D172,"Understaffed",1-POISSON(E172-1,D172,1))</f>
        <v>0.0577797525096471</v>
      </c>
      <c r="G172" s="23" t="n">
        <f aca="false">IF(E172&lt;=D172,0,(1-F172*EXP(-(E172-D172)*Inputs!$C$8/Inputs!$C$6))*100)</f>
        <v>94.9975572927541</v>
      </c>
      <c r="H172" s="24" t="n">
        <f aca="false">ROUNDUP(E172/Inputs!$C$15,0)</f>
        <v>3</v>
      </c>
      <c r="I172" s="23" t="n">
        <f aca="false">IF(E172=0,0,D172/E172*100)</f>
        <v>19.2888888888889</v>
      </c>
      <c r="J172" s="25" t="str">
        <f aca="false">IF(G172&gt;=Inputs!$C$7,"GREEN",IF(G172&gt;=Inputs!$C$7-10,"AMBER","RED"))</f>
        <v>GREEN</v>
      </c>
      <c r="K172" s="20" t="n">
        <v>4.8</v>
      </c>
      <c r="L172" s="20" t="n">
        <v>7.6</v>
      </c>
    </row>
    <row r="173" customFormat="false" ht="15" hidden="false" customHeight="true" outlineLevel="0" collapsed="false">
      <c r="A173" s="26" t="s">
        <v>79</v>
      </c>
      <c r="B173" s="26" t="s">
        <v>52</v>
      </c>
      <c r="C173" s="26" t="n">
        <v>5</v>
      </c>
      <c r="D173" s="21" t="n">
        <f aca="false">C173*Inputs!$C$6/3600</f>
        <v>0.311111111111111</v>
      </c>
      <c r="E173" s="7" t="n">
        <v>2</v>
      </c>
      <c r="F173" s="22" t="n">
        <f aca="false">IF(E173&lt;=D173,"Understaffed",1-POISSON(E173-1,D173,1))</f>
        <v>0.0394374311863616</v>
      </c>
      <c r="G173" s="23" t="n">
        <f aca="false">IF(E173&lt;=D173,0,(1-F173*EXP(-(E173-D173)*Inputs!$C$8/Inputs!$C$6))*100)</f>
        <v>96.6082817491731</v>
      </c>
      <c r="H173" s="24" t="n">
        <f aca="false">ROUNDUP(E173/Inputs!$C$15,0)</f>
        <v>3</v>
      </c>
      <c r="I173" s="23" t="n">
        <f aca="false">IF(E173=0,0,D173/E173*100)</f>
        <v>15.5555555555556</v>
      </c>
      <c r="J173" s="25" t="str">
        <f aca="false">IF(G173&gt;=Inputs!$C$7,"GREEN",IF(G173&gt;=Inputs!$C$7-10,"AMBER","RED"))</f>
        <v>GREEN</v>
      </c>
      <c r="K173" s="26" t="n">
        <v>3.7</v>
      </c>
      <c r="L173" s="26" t="n">
        <v>6.4</v>
      </c>
    </row>
    <row r="174" customFormat="false" ht="15" hidden="false" customHeight="true" outlineLevel="0" collapsed="false">
      <c r="A174" s="20" t="s">
        <v>79</v>
      </c>
      <c r="B174" s="20" t="s">
        <v>53</v>
      </c>
      <c r="C174" s="20" t="n">
        <v>4.8</v>
      </c>
      <c r="D174" s="21" t="n">
        <f aca="false">C174*Inputs!$C$6/3600</f>
        <v>0.298666666666667</v>
      </c>
      <c r="E174" s="7" t="n">
        <v>2</v>
      </c>
      <c r="F174" s="22" t="n">
        <f aca="false">IF(E174&lt;=D174,"Understaffed",1-POISSON(E174-1,D174,1))</f>
        <v>0.0366404472768543</v>
      </c>
      <c r="G174" s="23" t="n">
        <f aca="false">IF(E174&lt;=D174,0,(1-F174*EXP(-(E174-D174)*Inputs!$C$8/Inputs!$C$6))*100)</f>
        <v>96.8523287548678</v>
      </c>
      <c r="H174" s="24" t="n">
        <f aca="false">ROUNDUP(E174/Inputs!$C$15,0)</f>
        <v>3</v>
      </c>
      <c r="I174" s="23" t="n">
        <f aca="false">IF(E174=0,0,D174/E174*100)</f>
        <v>14.9333333333333</v>
      </c>
      <c r="J174" s="25" t="str">
        <f aca="false">IF(G174&gt;=Inputs!$C$7,"GREEN",IF(G174&gt;=Inputs!$C$7-10,"AMBER","RED"))</f>
        <v>GREEN</v>
      </c>
      <c r="K174" s="20" t="n">
        <v>3.6</v>
      </c>
      <c r="L174" s="20" t="n">
        <v>6.1</v>
      </c>
    </row>
    <row r="175" customFormat="false" ht="15" hidden="false" customHeight="true" outlineLevel="0" collapsed="false">
      <c r="A175" s="26" t="s">
        <v>79</v>
      </c>
      <c r="B175" s="26" t="s">
        <v>54</v>
      </c>
      <c r="C175" s="26" t="n">
        <v>5.3</v>
      </c>
      <c r="D175" s="21" t="n">
        <f aca="false">C175*Inputs!$C$6/3600</f>
        <v>0.329777777777778</v>
      </c>
      <c r="E175" s="7" t="n">
        <v>2</v>
      </c>
      <c r="F175" s="22" t="n">
        <f aca="false">IF(E175&lt;=D175,"Understaffed",1-POISSON(E175-1,D175,1))</f>
        <v>0.0437787253572556</v>
      </c>
      <c r="G175" s="23" t="n">
        <f aca="false">IF(E175&lt;=D175,0,(1-F175*EXP(-(E175-D175)*Inputs!$C$8/Inputs!$C$6))*100)</f>
        <v>96.2286391676252</v>
      </c>
      <c r="H175" s="24" t="n">
        <f aca="false">ROUNDUP(E175/Inputs!$C$15,0)</f>
        <v>3</v>
      </c>
      <c r="I175" s="23" t="n">
        <f aca="false">IF(E175=0,0,D175/E175*100)</f>
        <v>16.4888888888889</v>
      </c>
      <c r="J175" s="25" t="str">
        <f aca="false">IF(G175&gt;=Inputs!$C$7,"GREEN",IF(G175&gt;=Inputs!$C$7-10,"AMBER","RED"))</f>
        <v>GREEN</v>
      </c>
      <c r="K175" s="26" t="n">
        <v>4</v>
      </c>
      <c r="L175" s="26" t="n">
        <v>6.8</v>
      </c>
    </row>
    <row r="176" customFormat="false" ht="15" hidden="false" customHeight="true" outlineLevel="0" collapsed="false">
      <c r="A176" s="20" t="s">
        <v>79</v>
      </c>
      <c r="B176" s="20" t="s">
        <v>55</v>
      </c>
      <c r="C176" s="20" t="n">
        <v>5</v>
      </c>
      <c r="D176" s="21" t="n">
        <f aca="false">C176*Inputs!$C$6/3600</f>
        <v>0.311111111111111</v>
      </c>
      <c r="E176" s="7" t="n">
        <v>2</v>
      </c>
      <c r="F176" s="22" t="n">
        <f aca="false">IF(E176&lt;=D176,"Understaffed",1-POISSON(E176-1,D176,1))</f>
        <v>0.0394374311863616</v>
      </c>
      <c r="G176" s="23" t="n">
        <f aca="false">IF(E176&lt;=D176,0,(1-F176*EXP(-(E176-D176)*Inputs!$C$8/Inputs!$C$6))*100)</f>
        <v>96.6082817491731</v>
      </c>
      <c r="H176" s="24" t="n">
        <f aca="false">ROUNDUP(E176/Inputs!$C$15,0)</f>
        <v>3</v>
      </c>
      <c r="I176" s="23" t="n">
        <f aca="false">IF(E176=0,0,D176/E176*100)</f>
        <v>15.5555555555556</v>
      </c>
      <c r="J176" s="25" t="str">
        <f aca="false">IF(G176&gt;=Inputs!$C$7,"GREEN",IF(G176&gt;=Inputs!$C$7-10,"AMBER","RED"))</f>
        <v>GREEN</v>
      </c>
      <c r="K176" s="20" t="n">
        <v>3.7</v>
      </c>
      <c r="L176" s="20" t="n">
        <v>6.4</v>
      </c>
    </row>
    <row r="177" customFormat="false" ht="15" hidden="false" customHeight="true" outlineLevel="0" collapsed="false">
      <c r="A177" s="26" t="s">
        <v>79</v>
      </c>
      <c r="B177" s="26" t="s">
        <v>56</v>
      </c>
      <c r="C177" s="26" t="n">
        <v>5.4</v>
      </c>
      <c r="D177" s="21" t="n">
        <f aca="false">C177*Inputs!$C$6/3600</f>
        <v>0.336</v>
      </c>
      <c r="E177" s="7" t="n">
        <v>2</v>
      </c>
      <c r="F177" s="22" t="n">
        <f aca="false">IF(E177&lt;=D177,"Understaffed",1-POISSON(E177-1,D177,1))</f>
        <v>0.0452635306297475</v>
      </c>
      <c r="G177" s="23" t="n">
        <f aca="false">IF(E177&lt;=D177,0,(1-F177*EXP(-(E177-D177)*Inputs!$C$8/Inputs!$C$6))*100)</f>
        <v>96.0985623113331</v>
      </c>
      <c r="H177" s="24" t="n">
        <f aca="false">ROUNDUP(E177/Inputs!$C$15,0)</f>
        <v>3</v>
      </c>
      <c r="I177" s="23" t="n">
        <f aca="false">IF(E177=0,0,D177/E177*100)</f>
        <v>16.8</v>
      </c>
      <c r="J177" s="25" t="str">
        <f aca="false">IF(G177&gt;=Inputs!$C$7,"GREEN",IF(G177&gt;=Inputs!$C$7-10,"AMBER","RED"))</f>
        <v>GREEN</v>
      </c>
      <c r="K177" s="26" t="n">
        <v>4</v>
      </c>
      <c r="L177" s="26" t="n">
        <v>6.9</v>
      </c>
    </row>
    <row r="178" customFormat="false" ht="15" hidden="false" customHeight="true" outlineLevel="0" collapsed="false">
      <c r="A178" s="20" t="s">
        <v>79</v>
      </c>
      <c r="B178" s="20" t="s">
        <v>57</v>
      </c>
      <c r="C178" s="20" t="n">
        <v>4.5</v>
      </c>
      <c r="D178" s="21" t="n">
        <f aca="false">C178*Inputs!$C$6/3600</f>
        <v>0.28</v>
      </c>
      <c r="E178" s="7" t="n">
        <v>2</v>
      </c>
      <c r="F178" s="22" t="n">
        <f aca="false">IF(E178&lt;=D178,"Understaffed",1-POISSON(E178-1,D178,1))</f>
        <v>0.0325968109366714</v>
      </c>
      <c r="G178" s="23" t="n">
        <f aca="false">IF(E178&lt;=D178,0,(1-F178*EXP(-(E178-D178)*Inputs!$C$8/Inputs!$C$6))*100)</f>
        <v>97.204368729997</v>
      </c>
      <c r="H178" s="24" t="n">
        <f aca="false">ROUNDUP(E178/Inputs!$C$15,0)</f>
        <v>3</v>
      </c>
      <c r="I178" s="23" t="n">
        <f aca="false">IF(E178=0,0,D178/E178*100)</f>
        <v>14</v>
      </c>
      <c r="J178" s="25" t="str">
        <f aca="false">IF(G178&gt;=Inputs!$C$7,"GREEN",IF(G178&gt;=Inputs!$C$7-10,"AMBER","RED"))</f>
        <v>GREEN</v>
      </c>
      <c r="K178" s="20" t="n">
        <v>3.4</v>
      </c>
      <c r="L178" s="20" t="n">
        <v>5.8</v>
      </c>
    </row>
    <row r="179" customFormat="false" ht="15" hidden="false" customHeight="true" outlineLevel="0" collapsed="false">
      <c r="A179" s="26" t="s">
        <v>79</v>
      </c>
      <c r="B179" s="26" t="s">
        <v>58</v>
      </c>
      <c r="C179" s="26" t="n">
        <v>4.8</v>
      </c>
      <c r="D179" s="21" t="n">
        <f aca="false">C179*Inputs!$C$6/3600</f>
        <v>0.298666666666667</v>
      </c>
      <c r="E179" s="7" t="n">
        <v>2</v>
      </c>
      <c r="F179" s="22" t="n">
        <f aca="false">IF(E179&lt;=D179,"Understaffed",1-POISSON(E179-1,D179,1))</f>
        <v>0.0366404472768543</v>
      </c>
      <c r="G179" s="23" t="n">
        <f aca="false">IF(E179&lt;=D179,0,(1-F179*EXP(-(E179-D179)*Inputs!$C$8/Inputs!$C$6))*100)</f>
        <v>96.8523287548678</v>
      </c>
      <c r="H179" s="24" t="n">
        <f aca="false">ROUNDUP(E179/Inputs!$C$15,0)</f>
        <v>3</v>
      </c>
      <c r="I179" s="23" t="n">
        <f aca="false">IF(E179=0,0,D179/E179*100)</f>
        <v>14.9333333333333</v>
      </c>
      <c r="J179" s="25" t="str">
        <f aca="false">IF(G179&gt;=Inputs!$C$7,"GREEN",IF(G179&gt;=Inputs!$C$7-10,"AMBER","RED"))</f>
        <v>GREEN</v>
      </c>
      <c r="K179" s="26" t="n">
        <v>3.6</v>
      </c>
      <c r="L179" s="26" t="n">
        <v>6.2</v>
      </c>
    </row>
    <row r="180" customFormat="false" ht="15" hidden="false" customHeight="true" outlineLevel="0" collapsed="false">
      <c r="A180" s="20" t="s">
        <v>79</v>
      </c>
      <c r="B180" s="20" t="s">
        <v>59</v>
      </c>
      <c r="C180" s="20" t="n">
        <v>5.1</v>
      </c>
      <c r="D180" s="21" t="n">
        <f aca="false">C180*Inputs!$C$6/3600</f>
        <v>0.317333333333333</v>
      </c>
      <c r="E180" s="7" t="n">
        <v>2</v>
      </c>
      <c r="F180" s="22" t="n">
        <f aca="false">IF(E180&lt;=D180,"Understaffed",1-POISSON(E180-1,D180,1))</f>
        <v>0.0408653834111161</v>
      </c>
      <c r="G180" s="23" t="n">
        <f aca="false">IF(E180&lt;=D180,0,(1-F180*EXP(-(E180-D180)*Inputs!$C$8/Inputs!$C$6))*100)</f>
        <v>96.4835212103744</v>
      </c>
      <c r="H180" s="24" t="n">
        <f aca="false">ROUNDUP(E180/Inputs!$C$15,0)</f>
        <v>3</v>
      </c>
      <c r="I180" s="23" t="n">
        <f aca="false">IF(E180=0,0,D180/E180*100)</f>
        <v>15.8666666666667</v>
      </c>
      <c r="J180" s="25" t="str">
        <f aca="false">IF(G180&gt;=Inputs!$C$7,"GREEN",IF(G180&gt;=Inputs!$C$7-10,"AMBER","RED"))</f>
        <v>GREEN</v>
      </c>
      <c r="K180" s="20" t="n">
        <v>3.9</v>
      </c>
      <c r="L180" s="20" t="n">
        <v>6.6</v>
      </c>
    </row>
    <row r="181" customFormat="false" ht="15" hidden="false" customHeight="true" outlineLevel="0" collapsed="false">
      <c r="A181" s="26" t="s">
        <v>79</v>
      </c>
      <c r="B181" s="26" t="s">
        <v>60</v>
      </c>
      <c r="C181" s="26" t="n">
        <v>5.3</v>
      </c>
      <c r="D181" s="21" t="n">
        <f aca="false">C181*Inputs!$C$6/3600</f>
        <v>0.329777777777778</v>
      </c>
      <c r="E181" s="7" t="n">
        <v>2</v>
      </c>
      <c r="F181" s="22" t="n">
        <f aca="false">IF(E181&lt;=D181,"Understaffed",1-POISSON(E181-1,D181,1))</f>
        <v>0.0437787253572556</v>
      </c>
      <c r="G181" s="23" t="n">
        <f aca="false">IF(E181&lt;=D181,0,(1-F181*EXP(-(E181-D181)*Inputs!$C$8/Inputs!$C$6))*100)</f>
        <v>96.2286391676252</v>
      </c>
      <c r="H181" s="24" t="n">
        <f aca="false">ROUNDUP(E181/Inputs!$C$15,0)</f>
        <v>3</v>
      </c>
      <c r="I181" s="23" t="n">
        <f aca="false">IF(E181=0,0,D181/E181*100)</f>
        <v>16.4888888888889</v>
      </c>
      <c r="J181" s="25" t="str">
        <f aca="false">IF(G181&gt;=Inputs!$C$7,"GREEN",IF(G181&gt;=Inputs!$C$7-10,"AMBER","RED"))</f>
        <v>GREEN</v>
      </c>
      <c r="K181" s="26" t="n">
        <v>4</v>
      </c>
      <c r="L181" s="26" t="n">
        <v>6.8</v>
      </c>
    </row>
    <row r="182" customFormat="false" ht="15" hidden="false" customHeight="true" outlineLevel="0" collapsed="false">
      <c r="A182" s="20" t="s">
        <v>80</v>
      </c>
      <c r="B182" s="20" t="s">
        <v>52</v>
      </c>
      <c r="C182" s="20" t="n">
        <v>5.1</v>
      </c>
      <c r="D182" s="21" t="n">
        <f aca="false">C182*Inputs!$C$6/3600</f>
        <v>0.317333333333333</v>
      </c>
      <c r="E182" s="7" t="n">
        <v>2</v>
      </c>
      <c r="F182" s="22" t="n">
        <f aca="false">IF(E182&lt;=D182,"Understaffed",1-POISSON(E182-1,D182,1))</f>
        <v>0.0408653834111161</v>
      </c>
      <c r="G182" s="23" t="n">
        <f aca="false">IF(E182&lt;=D182,0,(1-F182*EXP(-(E182-D182)*Inputs!$C$8/Inputs!$C$6))*100)</f>
        <v>96.4835212103744</v>
      </c>
      <c r="H182" s="24" t="n">
        <f aca="false">ROUNDUP(E182/Inputs!$C$15,0)</f>
        <v>3</v>
      </c>
      <c r="I182" s="23" t="n">
        <f aca="false">IF(E182=0,0,D182/E182*100)</f>
        <v>15.8666666666667</v>
      </c>
      <c r="J182" s="25" t="str">
        <f aca="false">IF(G182&gt;=Inputs!$C$7,"GREEN",IF(G182&gt;=Inputs!$C$7-10,"AMBER","RED"))</f>
        <v>GREEN</v>
      </c>
      <c r="K182" s="20" t="n">
        <v>3.6</v>
      </c>
      <c r="L182" s="20" t="n">
        <v>6.3</v>
      </c>
    </row>
    <row r="183" customFormat="false" ht="15" hidden="false" customHeight="true" outlineLevel="0" collapsed="false">
      <c r="A183" s="26" t="s">
        <v>80</v>
      </c>
      <c r="B183" s="26" t="s">
        <v>53</v>
      </c>
      <c r="C183" s="26" t="n">
        <v>4.9</v>
      </c>
      <c r="D183" s="21" t="n">
        <f aca="false">C183*Inputs!$C$6/3600</f>
        <v>0.304888888888889</v>
      </c>
      <c r="E183" s="7" t="n">
        <v>2</v>
      </c>
      <c r="F183" s="22" t="n">
        <f aca="false">IF(E183&lt;=D183,"Understaffed",1-POISSON(E183-1,D183,1))</f>
        <v>0.0380290192894296</v>
      </c>
      <c r="G183" s="23" t="n">
        <f aca="false">IF(E183&lt;=D183,0,(1-F183*EXP(-(E183-D183)*Inputs!$C$8/Inputs!$C$6))*100)</f>
        <v>96.7312252044132</v>
      </c>
      <c r="H183" s="24" t="n">
        <f aca="false">ROUNDUP(E183/Inputs!$C$15,0)</f>
        <v>3</v>
      </c>
      <c r="I183" s="23" t="n">
        <f aca="false">IF(E183=0,0,D183/E183*100)</f>
        <v>15.2444444444444</v>
      </c>
      <c r="J183" s="25" t="str">
        <f aca="false">IF(G183&gt;=Inputs!$C$7,"GREEN",IF(G183&gt;=Inputs!$C$7-10,"AMBER","RED"))</f>
        <v>GREEN</v>
      </c>
      <c r="K183" s="26" t="n">
        <v>3.5</v>
      </c>
      <c r="L183" s="26" t="n">
        <v>6</v>
      </c>
    </row>
    <row r="184" customFormat="false" ht="15" hidden="false" customHeight="true" outlineLevel="0" collapsed="false">
      <c r="A184" s="20" t="s">
        <v>80</v>
      </c>
      <c r="B184" s="20" t="s">
        <v>54</v>
      </c>
      <c r="C184" s="20" t="n">
        <v>5.4</v>
      </c>
      <c r="D184" s="21" t="n">
        <f aca="false">C184*Inputs!$C$6/3600</f>
        <v>0.336</v>
      </c>
      <c r="E184" s="7" t="n">
        <v>2</v>
      </c>
      <c r="F184" s="22" t="n">
        <f aca="false">IF(E184&lt;=D184,"Understaffed",1-POISSON(E184-1,D184,1))</f>
        <v>0.0452635306297475</v>
      </c>
      <c r="G184" s="23" t="n">
        <f aca="false">IF(E184&lt;=D184,0,(1-F184*EXP(-(E184-D184)*Inputs!$C$8/Inputs!$C$6))*100)</f>
        <v>96.0985623113331</v>
      </c>
      <c r="H184" s="24" t="n">
        <f aca="false">ROUNDUP(E184/Inputs!$C$15,0)</f>
        <v>3</v>
      </c>
      <c r="I184" s="23" t="n">
        <f aca="false">IF(E184=0,0,D184/E184*100)</f>
        <v>16.8</v>
      </c>
      <c r="J184" s="25" t="str">
        <f aca="false">IF(G184&gt;=Inputs!$C$7,"GREEN",IF(G184&gt;=Inputs!$C$7-10,"AMBER","RED"))</f>
        <v>GREEN</v>
      </c>
      <c r="K184" s="20" t="n">
        <v>3.9</v>
      </c>
      <c r="L184" s="20" t="n">
        <v>6.7</v>
      </c>
    </row>
    <row r="185" customFormat="false" ht="15" hidden="false" customHeight="true" outlineLevel="0" collapsed="false">
      <c r="A185" s="26" t="s">
        <v>80</v>
      </c>
      <c r="B185" s="26" t="s">
        <v>55</v>
      </c>
      <c r="C185" s="26" t="n">
        <v>5.1</v>
      </c>
      <c r="D185" s="21" t="n">
        <f aca="false">C185*Inputs!$C$6/3600</f>
        <v>0.317333333333333</v>
      </c>
      <c r="E185" s="7" t="n">
        <v>2</v>
      </c>
      <c r="F185" s="22" t="n">
        <f aca="false">IF(E185&lt;=D185,"Understaffed",1-POISSON(E185-1,D185,1))</f>
        <v>0.0408653834111161</v>
      </c>
      <c r="G185" s="23" t="n">
        <f aca="false">IF(E185&lt;=D185,0,(1-F185*EXP(-(E185-D185)*Inputs!$C$8/Inputs!$C$6))*100)</f>
        <v>96.4835212103744</v>
      </c>
      <c r="H185" s="24" t="n">
        <f aca="false">ROUNDUP(E185/Inputs!$C$15,0)</f>
        <v>3</v>
      </c>
      <c r="I185" s="23" t="n">
        <f aca="false">IF(E185=0,0,D185/E185*100)</f>
        <v>15.8666666666667</v>
      </c>
      <c r="J185" s="25" t="str">
        <f aca="false">IF(G185&gt;=Inputs!$C$7,"GREEN",IF(G185&gt;=Inputs!$C$7-10,"AMBER","RED"))</f>
        <v>GREEN</v>
      </c>
      <c r="K185" s="26" t="n">
        <v>3.6</v>
      </c>
      <c r="L185" s="26" t="n">
        <v>6.3</v>
      </c>
    </row>
    <row r="186" customFormat="false" ht="15" hidden="false" customHeight="true" outlineLevel="0" collapsed="false">
      <c r="A186" s="20" t="s">
        <v>80</v>
      </c>
      <c r="B186" s="20" t="s">
        <v>56</v>
      </c>
      <c r="C186" s="20" t="n">
        <v>5.5</v>
      </c>
      <c r="D186" s="21" t="n">
        <f aca="false">C186*Inputs!$C$6/3600</f>
        <v>0.342222222222222</v>
      </c>
      <c r="E186" s="7" t="n">
        <v>2</v>
      </c>
      <c r="F186" s="22" t="n">
        <f aca="false">IF(E186&lt;=D186,"Understaffed",1-POISSON(E186-1,D186,1))</f>
        <v>0.0467667072826541</v>
      </c>
      <c r="G186" s="23" t="n">
        <f aca="false">IF(E186&lt;=D186,0,(1-F186*EXP(-(E186-D186)*Inputs!$C$8/Inputs!$C$6))*100)</f>
        <v>95.9667576698329</v>
      </c>
      <c r="H186" s="24" t="n">
        <f aca="false">ROUNDUP(E186/Inputs!$C$15,0)</f>
        <v>3</v>
      </c>
      <c r="I186" s="23" t="n">
        <f aca="false">IF(E186=0,0,D186/E186*100)</f>
        <v>17.1111111111111</v>
      </c>
      <c r="J186" s="25" t="str">
        <f aca="false">IF(G186&gt;=Inputs!$C$7,"GREEN",IF(G186&gt;=Inputs!$C$7-10,"AMBER","RED"))</f>
        <v>GREEN</v>
      </c>
      <c r="K186" s="20" t="n">
        <v>3.9</v>
      </c>
      <c r="L186" s="20" t="n">
        <v>6.8</v>
      </c>
    </row>
    <row r="187" customFormat="false" ht="15" hidden="false" customHeight="true" outlineLevel="0" collapsed="false">
      <c r="A187" s="26" t="s">
        <v>80</v>
      </c>
      <c r="B187" s="26" t="s">
        <v>57</v>
      </c>
      <c r="C187" s="26" t="n">
        <v>4.6</v>
      </c>
      <c r="D187" s="21" t="n">
        <f aca="false">C187*Inputs!$C$6/3600</f>
        <v>0.286222222222222</v>
      </c>
      <c r="E187" s="7" t="n">
        <v>2</v>
      </c>
      <c r="F187" s="22" t="n">
        <f aca="false">IF(E187&lt;=D187,"Understaffed",1-POISSON(E187-1,D187,1))</f>
        <v>0.0339240360473559</v>
      </c>
      <c r="G187" s="23" t="n">
        <f aca="false">IF(E187&lt;=D187,0,(1-F187*EXP(-(E187-D187)*Inputs!$C$8/Inputs!$C$6))*100)</f>
        <v>97.088923846321</v>
      </c>
      <c r="H187" s="24" t="n">
        <f aca="false">ROUNDUP(E187/Inputs!$C$15,0)</f>
        <v>3</v>
      </c>
      <c r="I187" s="23" t="n">
        <f aca="false">IF(E187=0,0,D187/E187*100)</f>
        <v>14.3111111111111</v>
      </c>
      <c r="J187" s="25" t="str">
        <f aca="false">IF(G187&gt;=Inputs!$C$7,"GREEN",IF(G187&gt;=Inputs!$C$7-10,"AMBER","RED"))</f>
        <v>GREEN</v>
      </c>
      <c r="K187" s="26" t="n">
        <v>3.3</v>
      </c>
      <c r="L187" s="26" t="n">
        <v>5.7</v>
      </c>
    </row>
    <row r="188" customFormat="false" ht="15" hidden="false" customHeight="true" outlineLevel="0" collapsed="false">
      <c r="A188" s="20" t="s">
        <v>80</v>
      </c>
      <c r="B188" s="20" t="s">
        <v>58</v>
      </c>
      <c r="C188" s="20" t="n">
        <v>4.9</v>
      </c>
      <c r="D188" s="21" t="n">
        <f aca="false">C188*Inputs!$C$6/3600</f>
        <v>0.304888888888889</v>
      </c>
      <c r="E188" s="7" t="n">
        <v>2</v>
      </c>
      <c r="F188" s="22" t="n">
        <f aca="false">IF(E188&lt;=D188,"Understaffed",1-POISSON(E188-1,D188,1))</f>
        <v>0.0380290192894296</v>
      </c>
      <c r="G188" s="23" t="n">
        <f aca="false">IF(E188&lt;=D188,0,(1-F188*EXP(-(E188-D188)*Inputs!$C$8/Inputs!$C$6))*100)</f>
        <v>96.7312252044132</v>
      </c>
      <c r="H188" s="24" t="n">
        <f aca="false">ROUNDUP(E188/Inputs!$C$15,0)</f>
        <v>3</v>
      </c>
      <c r="I188" s="23" t="n">
        <f aca="false">IF(E188=0,0,D188/E188*100)</f>
        <v>15.2444444444444</v>
      </c>
      <c r="J188" s="25" t="str">
        <f aca="false">IF(G188&gt;=Inputs!$C$7,"GREEN",IF(G188&gt;=Inputs!$C$7-10,"AMBER","RED"))</f>
        <v>GREEN</v>
      </c>
      <c r="K188" s="20" t="n">
        <v>3.5</v>
      </c>
      <c r="L188" s="20" t="n">
        <v>6.1</v>
      </c>
    </row>
    <row r="189" customFormat="false" ht="15" hidden="false" customHeight="true" outlineLevel="0" collapsed="false">
      <c r="A189" s="26" t="s">
        <v>80</v>
      </c>
      <c r="B189" s="26" t="s">
        <v>59</v>
      </c>
      <c r="C189" s="26" t="n">
        <v>5.2</v>
      </c>
      <c r="D189" s="21" t="n">
        <f aca="false">C189*Inputs!$C$6/3600</f>
        <v>0.323555555555556</v>
      </c>
      <c r="E189" s="7" t="n">
        <v>2</v>
      </c>
      <c r="F189" s="22" t="n">
        <f aca="false">IF(E189&lt;=D189,"Understaffed",1-POISSON(E189-1,D189,1))</f>
        <v>0.0423125793600404</v>
      </c>
      <c r="G189" s="23" t="n">
        <f aca="false">IF(E189&lt;=D189,0,(1-F189*EXP(-(E189-D189)*Inputs!$C$8/Inputs!$C$6))*100)</f>
        <v>96.3569662090607</v>
      </c>
      <c r="H189" s="24" t="n">
        <f aca="false">ROUNDUP(E189/Inputs!$C$15,0)</f>
        <v>3</v>
      </c>
      <c r="I189" s="23" t="n">
        <f aca="false">IF(E189=0,0,D189/E189*100)</f>
        <v>16.1777777777778</v>
      </c>
      <c r="J189" s="25" t="str">
        <f aca="false">IF(G189&gt;=Inputs!$C$7,"GREEN",IF(G189&gt;=Inputs!$C$7-10,"AMBER","RED"))</f>
        <v>GREEN</v>
      </c>
      <c r="K189" s="26" t="n">
        <v>3.8</v>
      </c>
      <c r="L189" s="26" t="n">
        <v>6.5</v>
      </c>
    </row>
    <row r="190" customFormat="false" ht="15" hidden="false" customHeight="true" outlineLevel="0" collapsed="false">
      <c r="A190" s="20" t="s">
        <v>80</v>
      </c>
      <c r="B190" s="20" t="s">
        <v>60</v>
      </c>
      <c r="C190" s="20" t="n">
        <v>5.4</v>
      </c>
      <c r="D190" s="21" t="n">
        <f aca="false">C190*Inputs!$C$6/3600</f>
        <v>0.336</v>
      </c>
      <c r="E190" s="7" t="n">
        <v>2</v>
      </c>
      <c r="F190" s="22" t="n">
        <f aca="false">IF(E190&lt;=D190,"Understaffed",1-POISSON(E190-1,D190,1))</f>
        <v>0.0452635306297475</v>
      </c>
      <c r="G190" s="23" t="n">
        <f aca="false">IF(E190&lt;=D190,0,(1-F190*EXP(-(E190-D190)*Inputs!$C$8/Inputs!$C$6))*100)</f>
        <v>96.0985623113331</v>
      </c>
      <c r="H190" s="24" t="n">
        <f aca="false">ROUNDUP(E190/Inputs!$C$15,0)</f>
        <v>3</v>
      </c>
      <c r="I190" s="23" t="n">
        <f aca="false">IF(E190=0,0,D190/E190*100)</f>
        <v>16.8</v>
      </c>
      <c r="J190" s="25" t="str">
        <f aca="false">IF(G190&gt;=Inputs!$C$7,"GREEN",IF(G190&gt;=Inputs!$C$7-10,"AMBER","RED"))</f>
        <v>GREEN</v>
      </c>
      <c r="K190" s="20" t="n">
        <v>3.9</v>
      </c>
      <c r="L190" s="20" t="n">
        <v>6.7</v>
      </c>
    </row>
    <row r="191" customFormat="false" ht="15" hidden="false" customHeight="true" outlineLevel="0" collapsed="false">
      <c r="A191" s="26" t="s">
        <v>81</v>
      </c>
      <c r="B191" s="26" t="s">
        <v>52</v>
      </c>
      <c r="C191" s="26" t="n">
        <v>5.7</v>
      </c>
      <c r="D191" s="21" t="n">
        <f aca="false">C191*Inputs!$C$6/3600</f>
        <v>0.354666666666667</v>
      </c>
      <c r="E191" s="7" t="n">
        <v>2</v>
      </c>
      <c r="F191" s="22" t="n">
        <f aca="false">IF(E191&lt;=D191,"Understaffed",1-POISSON(E191-1,D191,1))</f>
        <v>0.0498270373941074</v>
      </c>
      <c r="G191" s="23" t="n">
        <f aca="false">IF(E191&lt;=D191,0,(1-F191*EXP(-(E191-D191)*Inputs!$C$8/Inputs!$C$6))*100)</f>
        <v>95.6980521807102</v>
      </c>
      <c r="H191" s="24" t="n">
        <f aca="false">ROUNDUP(E191/Inputs!$C$15,0)</f>
        <v>3</v>
      </c>
      <c r="I191" s="23" t="n">
        <f aca="false">IF(E191=0,0,D191/E191*100)</f>
        <v>17.7333333333333</v>
      </c>
      <c r="J191" s="25" t="str">
        <f aca="false">IF(G191&gt;=Inputs!$C$7,"GREEN",IF(G191&gt;=Inputs!$C$7-10,"AMBER","RED"))</f>
        <v>GREEN</v>
      </c>
      <c r="K191" s="26" t="n">
        <v>4.5</v>
      </c>
      <c r="L191" s="26" t="n">
        <v>7</v>
      </c>
    </row>
    <row r="192" customFormat="false" ht="15" hidden="false" customHeight="true" outlineLevel="0" collapsed="false">
      <c r="A192" s="20" t="s">
        <v>81</v>
      </c>
      <c r="B192" s="20" t="s">
        <v>53</v>
      </c>
      <c r="C192" s="20" t="n">
        <v>5.5</v>
      </c>
      <c r="D192" s="21" t="n">
        <f aca="false">C192*Inputs!$C$6/3600</f>
        <v>0.342222222222222</v>
      </c>
      <c r="E192" s="7" t="n">
        <v>2</v>
      </c>
      <c r="F192" s="22" t="n">
        <f aca="false">IF(E192&lt;=D192,"Understaffed",1-POISSON(E192-1,D192,1))</f>
        <v>0.0467667072826541</v>
      </c>
      <c r="G192" s="23" t="n">
        <f aca="false">IF(E192&lt;=D192,0,(1-F192*EXP(-(E192-D192)*Inputs!$C$8/Inputs!$C$6))*100)</f>
        <v>95.9667576698329</v>
      </c>
      <c r="H192" s="24" t="n">
        <f aca="false">ROUNDUP(E192/Inputs!$C$15,0)</f>
        <v>3</v>
      </c>
      <c r="I192" s="23" t="n">
        <f aca="false">IF(E192=0,0,D192/E192*100)</f>
        <v>17.1111111111111</v>
      </c>
      <c r="J192" s="25" t="str">
        <f aca="false">IF(G192&gt;=Inputs!$C$7,"GREEN",IF(G192&gt;=Inputs!$C$7-10,"AMBER","RED"))</f>
        <v>GREEN</v>
      </c>
      <c r="K192" s="20" t="n">
        <v>4.3</v>
      </c>
      <c r="L192" s="20" t="n">
        <v>6.8</v>
      </c>
    </row>
    <row r="193" customFormat="false" ht="15" hidden="false" customHeight="true" outlineLevel="0" collapsed="false">
      <c r="A193" s="26" t="s">
        <v>81</v>
      </c>
      <c r="B193" s="26" t="s">
        <v>54</v>
      </c>
      <c r="C193" s="26" t="n">
        <v>6.1</v>
      </c>
      <c r="D193" s="21" t="n">
        <f aca="false">C193*Inputs!$C$6/3600</f>
        <v>0.379555555555556</v>
      </c>
      <c r="E193" s="7" t="n">
        <v>2</v>
      </c>
      <c r="F193" s="22" t="n">
        <f aca="false">IF(E193&lt;=D193,"Understaffed",1-POISSON(E193-1,D193,1))</f>
        <v>0.0561558005855638</v>
      </c>
      <c r="G193" s="23" t="n">
        <f aca="false">IF(E193&lt;=D193,0,(1-F193*EXP(-(E193-D193)*Inputs!$C$8/Inputs!$C$6))*100)</f>
        <v>95.1408557199438</v>
      </c>
      <c r="H193" s="24" t="n">
        <f aca="false">ROUNDUP(E193/Inputs!$C$15,0)</f>
        <v>3</v>
      </c>
      <c r="I193" s="23" t="n">
        <f aca="false">IF(E193=0,0,D193/E193*100)</f>
        <v>18.9777777777778</v>
      </c>
      <c r="J193" s="25" t="str">
        <f aca="false">IF(G193&gt;=Inputs!$C$7,"GREEN",IF(G193&gt;=Inputs!$C$7-10,"AMBER","RED"))</f>
        <v>GREEN</v>
      </c>
      <c r="K193" s="26" t="n">
        <v>4.8</v>
      </c>
      <c r="L193" s="26" t="n">
        <v>7.6</v>
      </c>
    </row>
    <row r="194" customFormat="false" ht="15" hidden="false" customHeight="true" outlineLevel="0" collapsed="false">
      <c r="A194" s="20" t="s">
        <v>81</v>
      </c>
      <c r="B194" s="20" t="s">
        <v>55</v>
      </c>
      <c r="C194" s="20" t="n">
        <v>5.7</v>
      </c>
      <c r="D194" s="21" t="n">
        <f aca="false">C194*Inputs!$C$6/3600</f>
        <v>0.354666666666667</v>
      </c>
      <c r="E194" s="7" t="n">
        <v>2</v>
      </c>
      <c r="F194" s="22" t="n">
        <f aca="false">IF(E194&lt;=D194,"Understaffed",1-POISSON(E194-1,D194,1))</f>
        <v>0.0498270373941074</v>
      </c>
      <c r="G194" s="23" t="n">
        <f aca="false">IF(E194&lt;=D194,0,(1-F194*EXP(-(E194-D194)*Inputs!$C$8/Inputs!$C$6))*100)</f>
        <v>95.6980521807102</v>
      </c>
      <c r="H194" s="24" t="n">
        <f aca="false">ROUNDUP(E194/Inputs!$C$15,0)</f>
        <v>3</v>
      </c>
      <c r="I194" s="23" t="n">
        <f aca="false">IF(E194=0,0,D194/E194*100)</f>
        <v>17.7333333333333</v>
      </c>
      <c r="J194" s="25" t="str">
        <f aca="false">IF(G194&gt;=Inputs!$C$7,"GREEN",IF(G194&gt;=Inputs!$C$7-10,"AMBER","RED"))</f>
        <v>GREEN</v>
      </c>
      <c r="K194" s="20" t="n">
        <v>4.5</v>
      </c>
      <c r="L194" s="20" t="n">
        <v>7</v>
      </c>
    </row>
    <row r="195" customFormat="false" ht="15" hidden="false" customHeight="true" outlineLevel="0" collapsed="false">
      <c r="A195" s="26" t="s">
        <v>81</v>
      </c>
      <c r="B195" s="26" t="s">
        <v>56</v>
      </c>
      <c r="C195" s="26" t="n">
        <v>6.2</v>
      </c>
      <c r="D195" s="21" t="n">
        <f aca="false">C195*Inputs!$C$6/3600</f>
        <v>0.385777777777778</v>
      </c>
      <c r="E195" s="7" t="n">
        <v>2</v>
      </c>
      <c r="F195" s="22" t="n">
        <f aca="false">IF(E195&lt;=D195,"Understaffed",1-POISSON(E195-1,D195,1))</f>
        <v>0.0577797525096471</v>
      </c>
      <c r="G195" s="23" t="n">
        <f aca="false">IF(E195&lt;=D195,0,(1-F195*EXP(-(E195-D195)*Inputs!$C$8/Inputs!$C$6))*100)</f>
        <v>94.9975572927541</v>
      </c>
      <c r="H195" s="24" t="n">
        <f aca="false">ROUNDUP(E195/Inputs!$C$15,0)</f>
        <v>3</v>
      </c>
      <c r="I195" s="23" t="n">
        <f aca="false">IF(E195=0,0,D195/E195*100)</f>
        <v>19.2888888888889</v>
      </c>
      <c r="J195" s="25" t="str">
        <f aca="false">IF(G195&gt;=Inputs!$C$7,"GREEN",IF(G195&gt;=Inputs!$C$7-10,"AMBER","RED"))</f>
        <v>GREEN</v>
      </c>
      <c r="K195" s="26" t="n">
        <v>4.9</v>
      </c>
      <c r="L195" s="26" t="n">
        <v>7.6</v>
      </c>
    </row>
    <row r="196" customFormat="false" ht="15" hidden="false" customHeight="true" outlineLevel="0" collapsed="false">
      <c r="A196" s="20" t="s">
        <v>81</v>
      </c>
      <c r="B196" s="20" t="s">
        <v>57</v>
      </c>
      <c r="C196" s="20" t="n">
        <v>5.2</v>
      </c>
      <c r="D196" s="21" t="n">
        <f aca="false">C196*Inputs!$C$6/3600</f>
        <v>0.323555555555556</v>
      </c>
      <c r="E196" s="7" t="n">
        <v>2</v>
      </c>
      <c r="F196" s="22" t="n">
        <f aca="false">IF(E196&lt;=D196,"Understaffed",1-POISSON(E196-1,D196,1))</f>
        <v>0.0423125793600404</v>
      </c>
      <c r="G196" s="23" t="n">
        <f aca="false">IF(E196&lt;=D196,0,(1-F196*EXP(-(E196-D196)*Inputs!$C$8/Inputs!$C$6))*100)</f>
        <v>96.3569662090607</v>
      </c>
      <c r="H196" s="24" t="n">
        <f aca="false">ROUNDUP(E196/Inputs!$C$15,0)</f>
        <v>3</v>
      </c>
      <c r="I196" s="23" t="n">
        <f aca="false">IF(E196=0,0,D196/E196*100)</f>
        <v>16.1777777777778</v>
      </c>
      <c r="J196" s="25" t="str">
        <f aca="false">IF(G196&gt;=Inputs!$C$7,"GREEN",IF(G196&gt;=Inputs!$C$7-10,"AMBER","RED"))</f>
        <v>GREEN</v>
      </c>
      <c r="K196" s="20" t="n">
        <v>4.1</v>
      </c>
      <c r="L196" s="20" t="n">
        <v>6.4</v>
      </c>
    </row>
    <row r="197" customFormat="false" ht="15" hidden="false" customHeight="true" outlineLevel="0" collapsed="false">
      <c r="A197" s="26" t="s">
        <v>81</v>
      </c>
      <c r="B197" s="26" t="s">
        <v>58</v>
      </c>
      <c r="C197" s="26" t="n">
        <v>5.6</v>
      </c>
      <c r="D197" s="21" t="n">
        <f aca="false">C197*Inputs!$C$6/3600</f>
        <v>0.348444444444444</v>
      </c>
      <c r="E197" s="7" t="n">
        <v>2</v>
      </c>
      <c r="F197" s="22" t="n">
        <f aca="false">IF(E197&lt;=D197,"Understaffed",1-POISSON(E197-1,D197,1))</f>
        <v>0.048287970274747</v>
      </c>
      <c r="G197" s="23" t="n">
        <f aca="false">IF(E197&lt;=D197,0,(1-F197*EXP(-(E197-D197)*Inputs!$C$8/Inputs!$C$6))*100)</f>
        <v>95.8332470786567</v>
      </c>
      <c r="H197" s="24" t="n">
        <f aca="false">ROUNDUP(E197/Inputs!$C$15,0)</f>
        <v>3</v>
      </c>
      <c r="I197" s="23" t="n">
        <f aca="false">IF(E197=0,0,D197/E197*100)</f>
        <v>17.4222222222222</v>
      </c>
      <c r="J197" s="25" t="str">
        <f aca="false">IF(G197&gt;=Inputs!$C$7,"GREEN",IF(G197&gt;=Inputs!$C$7-10,"AMBER","RED"))</f>
        <v>GREEN</v>
      </c>
      <c r="K197" s="26" t="n">
        <v>4.4</v>
      </c>
      <c r="L197" s="26" t="n">
        <v>6.8</v>
      </c>
    </row>
    <row r="198" customFormat="false" ht="15" hidden="false" customHeight="true" outlineLevel="0" collapsed="false">
      <c r="A198" s="20" t="s">
        <v>81</v>
      </c>
      <c r="B198" s="20" t="s">
        <v>59</v>
      </c>
      <c r="C198" s="20" t="n">
        <v>5.9</v>
      </c>
      <c r="D198" s="21" t="n">
        <f aca="false">C198*Inputs!$C$6/3600</f>
        <v>0.367111111111111</v>
      </c>
      <c r="E198" s="7" t="n">
        <v>2</v>
      </c>
      <c r="F198" s="22" t="n">
        <f aca="false">IF(E198&lt;=D198,"Understaffed",1-POISSON(E198-1,D198,1))</f>
        <v>0.0529574691688954</v>
      </c>
      <c r="G198" s="23" t="n">
        <f aca="false">IF(E198&lt;=D198,0,(1-F198*EXP(-(E198-D198)*Inputs!$C$8/Inputs!$C$6))*100)</f>
        <v>95.4226950818606</v>
      </c>
      <c r="H198" s="24" t="n">
        <f aca="false">ROUNDUP(E198/Inputs!$C$15,0)</f>
        <v>3</v>
      </c>
      <c r="I198" s="23" t="n">
        <f aca="false">IF(E198=0,0,D198/E198*100)</f>
        <v>18.3555555555556</v>
      </c>
      <c r="J198" s="25" t="str">
        <f aca="false">IF(G198&gt;=Inputs!$C$7,"GREEN",IF(G198&gt;=Inputs!$C$7-10,"AMBER","RED"))</f>
        <v>GREEN</v>
      </c>
      <c r="K198" s="20" t="n">
        <v>4.7</v>
      </c>
      <c r="L198" s="20" t="n">
        <v>7.3</v>
      </c>
    </row>
    <row r="199" customFormat="false" ht="15" hidden="false" customHeight="true" outlineLevel="0" collapsed="false">
      <c r="A199" s="26" t="s">
        <v>81</v>
      </c>
      <c r="B199" s="26" t="s">
        <v>60</v>
      </c>
      <c r="C199" s="26" t="n">
        <v>6.1</v>
      </c>
      <c r="D199" s="21" t="n">
        <f aca="false">C199*Inputs!$C$6/3600</f>
        <v>0.379555555555556</v>
      </c>
      <c r="E199" s="7" t="n">
        <v>2</v>
      </c>
      <c r="F199" s="22" t="n">
        <f aca="false">IF(E199&lt;=D199,"Understaffed",1-POISSON(E199-1,D199,1))</f>
        <v>0.0561558005855638</v>
      </c>
      <c r="G199" s="23" t="n">
        <f aca="false">IF(E199&lt;=D199,0,(1-F199*EXP(-(E199-D199)*Inputs!$C$8/Inputs!$C$6))*100)</f>
        <v>95.1408557199438</v>
      </c>
      <c r="H199" s="24" t="n">
        <f aca="false">ROUNDUP(E199/Inputs!$C$15,0)</f>
        <v>3</v>
      </c>
      <c r="I199" s="23" t="n">
        <f aca="false">IF(E199=0,0,D199/E199*100)</f>
        <v>18.9777777777778</v>
      </c>
      <c r="J199" s="25" t="str">
        <f aca="false">IF(G199&gt;=Inputs!$C$7,"GREEN",IF(G199&gt;=Inputs!$C$7-10,"AMBER","RED"))</f>
        <v>GREEN</v>
      </c>
      <c r="K199" s="26" t="n">
        <v>4.8</v>
      </c>
      <c r="L199" s="26" t="n">
        <v>7.5</v>
      </c>
    </row>
    <row r="200" customFormat="false" ht="15" hidden="false" customHeight="true" outlineLevel="0" collapsed="false">
      <c r="A200" s="20" t="s">
        <v>82</v>
      </c>
      <c r="B200" s="20" t="s">
        <v>52</v>
      </c>
      <c r="C200" s="20" t="n">
        <v>5</v>
      </c>
      <c r="D200" s="21" t="n">
        <f aca="false">C200*Inputs!$C$6/3600</f>
        <v>0.311111111111111</v>
      </c>
      <c r="E200" s="7" t="n">
        <v>2</v>
      </c>
      <c r="F200" s="22" t="n">
        <f aca="false">IF(E200&lt;=D200,"Understaffed",1-POISSON(E200-1,D200,1))</f>
        <v>0.0394374311863616</v>
      </c>
      <c r="G200" s="23" t="n">
        <f aca="false">IF(E200&lt;=D200,0,(1-F200*EXP(-(E200-D200)*Inputs!$C$8/Inputs!$C$6))*100)</f>
        <v>96.6082817491731</v>
      </c>
      <c r="H200" s="24" t="n">
        <f aca="false">ROUNDUP(E200/Inputs!$C$15,0)</f>
        <v>3</v>
      </c>
      <c r="I200" s="23" t="n">
        <f aca="false">IF(E200=0,0,D200/E200*100)</f>
        <v>15.5555555555556</v>
      </c>
      <c r="J200" s="25" t="str">
        <f aca="false">IF(G200&gt;=Inputs!$C$7,"GREEN",IF(G200&gt;=Inputs!$C$7-10,"AMBER","RED"))</f>
        <v>GREEN</v>
      </c>
      <c r="K200" s="20" t="n">
        <v>3.6</v>
      </c>
      <c r="L200" s="20" t="n">
        <v>6.4</v>
      </c>
    </row>
    <row r="201" customFormat="false" ht="15" hidden="false" customHeight="true" outlineLevel="0" collapsed="false">
      <c r="A201" s="26" t="s">
        <v>82</v>
      </c>
      <c r="B201" s="26" t="s">
        <v>53</v>
      </c>
      <c r="C201" s="26" t="n">
        <v>4.8</v>
      </c>
      <c r="D201" s="21" t="n">
        <f aca="false">C201*Inputs!$C$6/3600</f>
        <v>0.298666666666667</v>
      </c>
      <c r="E201" s="7" t="n">
        <v>2</v>
      </c>
      <c r="F201" s="22" t="n">
        <f aca="false">IF(E201&lt;=D201,"Understaffed",1-POISSON(E201-1,D201,1))</f>
        <v>0.0366404472768543</v>
      </c>
      <c r="G201" s="23" t="n">
        <f aca="false">IF(E201&lt;=D201,0,(1-F201*EXP(-(E201-D201)*Inputs!$C$8/Inputs!$C$6))*100)</f>
        <v>96.8523287548678</v>
      </c>
      <c r="H201" s="24" t="n">
        <f aca="false">ROUNDUP(E201/Inputs!$C$15,0)</f>
        <v>3</v>
      </c>
      <c r="I201" s="23" t="n">
        <f aca="false">IF(E201=0,0,D201/E201*100)</f>
        <v>14.9333333333333</v>
      </c>
      <c r="J201" s="25" t="str">
        <f aca="false">IF(G201&gt;=Inputs!$C$7,"GREEN",IF(G201&gt;=Inputs!$C$7-10,"AMBER","RED"))</f>
        <v>GREEN</v>
      </c>
      <c r="K201" s="26" t="n">
        <v>3.5</v>
      </c>
      <c r="L201" s="26" t="n">
        <v>6.1</v>
      </c>
    </row>
    <row r="202" customFormat="false" ht="15" hidden="false" customHeight="true" outlineLevel="0" collapsed="false">
      <c r="A202" s="20" t="s">
        <v>82</v>
      </c>
      <c r="B202" s="20" t="s">
        <v>54</v>
      </c>
      <c r="C202" s="20" t="n">
        <v>5.3</v>
      </c>
      <c r="D202" s="21" t="n">
        <f aca="false">C202*Inputs!$C$6/3600</f>
        <v>0.329777777777778</v>
      </c>
      <c r="E202" s="7" t="n">
        <v>2</v>
      </c>
      <c r="F202" s="22" t="n">
        <f aca="false">IF(E202&lt;=D202,"Understaffed",1-POISSON(E202-1,D202,1))</f>
        <v>0.0437787253572556</v>
      </c>
      <c r="G202" s="23" t="n">
        <f aca="false">IF(E202&lt;=D202,0,(1-F202*EXP(-(E202-D202)*Inputs!$C$8/Inputs!$C$6))*100)</f>
        <v>96.2286391676252</v>
      </c>
      <c r="H202" s="24" t="n">
        <f aca="false">ROUNDUP(E202/Inputs!$C$15,0)</f>
        <v>3</v>
      </c>
      <c r="I202" s="23" t="n">
        <f aca="false">IF(E202=0,0,D202/E202*100)</f>
        <v>16.4888888888889</v>
      </c>
      <c r="J202" s="25" t="str">
        <f aca="false">IF(G202&gt;=Inputs!$C$7,"GREEN",IF(G202&gt;=Inputs!$C$7-10,"AMBER","RED"))</f>
        <v>GREEN</v>
      </c>
      <c r="K202" s="20" t="n">
        <v>3.9</v>
      </c>
      <c r="L202" s="20" t="n">
        <v>6.8</v>
      </c>
    </row>
    <row r="203" customFormat="false" ht="15" hidden="false" customHeight="true" outlineLevel="0" collapsed="false">
      <c r="A203" s="26" t="s">
        <v>82</v>
      </c>
      <c r="B203" s="26" t="s">
        <v>55</v>
      </c>
      <c r="C203" s="26" t="n">
        <v>5</v>
      </c>
      <c r="D203" s="21" t="n">
        <f aca="false">C203*Inputs!$C$6/3600</f>
        <v>0.311111111111111</v>
      </c>
      <c r="E203" s="7" t="n">
        <v>2</v>
      </c>
      <c r="F203" s="22" t="n">
        <f aca="false">IF(E203&lt;=D203,"Understaffed",1-POISSON(E203-1,D203,1))</f>
        <v>0.0394374311863616</v>
      </c>
      <c r="G203" s="23" t="n">
        <f aca="false">IF(E203&lt;=D203,0,(1-F203*EXP(-(E203-D203)*Inputs!$C$8/Inputs!$C$6))*100)</f>
        <v>96.6082817491731</v>
      </c>
      <c r="H203" s="24" t="n">
        <f aca="false">ROUNDUP(E203/Inputs!$C$15,0)</f>
        <v>3</v>
      </c>
      <c r="I203" s="23" t="n">
        <f aca="false">IF(E203=0,0,D203/E203*100)</f>
        <v>15.5555555555556</v>
      </c>
      <c r="J203" s="25" t="str">
        <f aca="false">IF(G203&gt;=Inputs!$C$7,"GREEN",IF(G203&gt;=Inputs!$C$7-10,"AMBER","RED"))</f>
        <v>GREEN</v>
      </c>
      <c r="K203" s="26" t="n">
        <v>3.6</v>
      </c>
      <c r="L203" s="26" t="n">
        <v>6.4</v>
      </c>
    </row>
    <row r="204" customFormat="false" ht="15" hidden="false" customHeight="true" outlineLevel="0" collapsed="false">
      <c r="A204" s="20" t="s">
        <v>82</v>
      </c>
      <c r="B204" s="20" t="s">
        <v>56</v>
      </c>
      <c r="C204" s="20" t="n">
        <v>5.4</v>
      </c>
      <c r="D204" s="21" t="n">
        <f aca="false">C204*Inputs!$C$6/3600</f>
        <v>0.336</v>
      </c>
      <c r="E204" s="7" t="n">
        <v>2</v>
      </c>
      <c r="F204" s="22" t="n">
        <f aca="false">IF(E204&lt;=D204,"Understaffed",1-POISSON(E204-1,D204,1))</f>
        <v>0.0452635306297475</v>
      </c>
      <c r="G204" s="23" t="n">
        <f aca="false">IF(E204&lt;=D204,0,(1-F204*EXP(-(E204-D204)*Inputs!$C$8/Inputs!$C$6))*100)</f>
        <v>96.0985623113331</v>
      </c>
      <c r="H204" s="24" t="n">
        <f aca="false">ROUNDUP(E204/Inputs!$C$15,0)</f>
        <v>3</v>
      </c>
      <c r="I204" s="23" t="n">
        <f aca="false">IF(E204=0,0,D204/E204*100)</f>
        <v>16.8</v>
      </c>
      <c r="J204" s="25" t="str">
        <f aca="false">IF(G204&gt;=Inputs!$C$7,"GREEN",IF(G204&gt;=Inputs!$C$7-10,"AMBER","RED"))</f>
        <v>GREEN</v>
      </c>
      <c r="K204" s="20" t="n">
        <v>3.9</v>
      </c>
      <c r="L204" s="20" t="n">
        <v>6.9</v>
      </c>
    </row>
    <row r="205" customFormat="false" ht="15" hidden="false" customHeight="true" outlineLevel="0" collapsed="false">
      <c r="A205" s="26" t="s">
        <v>82</v>
      </c>
      <c r="B205" s="26" t="s">
        <v>57</v>
      </c>
      <c r="C205" s="26" t="n">
        <v>4.5</v>
      </c>
      <c r="D205" s="21" t="n">
        <f aca="false">C205*Inputs!$C$6/3600</f>
        <v>0.28</v>
      </c>
      <c r="E205" s="7" t="n">
        <v>2</v>
      </c>
      <c r="F205" s="22" t="n">
        <f aca="false">IF(E205&lt;=D205,"Understaffed",1-POISSON(E205-1,D205,1))</f>
        <v>0.0325968109366714</v>
      </c>
      <c r="G205" s="23" t="n">
        <f aca="false">IF(E205&lt;=D205,0,(1-F205*EXP(-(E205-D205)*Inputs!$C$8/Inputs!$C$6))*100)</f>
        <v>97.204368729997</v>
      </c>
      <c r="H205" s="24" t="n">
        <f aca="false">ROUNDUP(E205/Inputs!$C$15,0)</f>
        <v>3</v>
      </c>
      <c r="I205" s="23" t="n">
        <f aca="false">IF(E205=0,0,D205/E205*100)</f>
        <v>14</v>
      </c>
      <c r="J205" s="25" t="str">
        <f aca="false">IF(G205&gt;=Inputs!$C$7,"GREEN",IF(G205&gt;=Inputs!$C$7-10,"AMBER","RED"))</f>
        <v>GREEN</v>
      </c>
      <c r="K205" s="26" t="n">
        <v>3.3</v>
      </c>
      <c r="L205" s="26" t="n">
        <v>5.8</v>
      </c>
    </row>
    <row r="206" customFormat="false" ht="15" hidden="false" customHeight="true" outlineLevel="0" collapsed="false">
      <c r="A206" s="20" t="s">
        <v>82</v>
      </c>
      <c r="B206" s="20" t="s">
        <v>58</v>
      </c>
      <c r="C206" s="20" t="n">
        <v>4.8</v>
      </c>
      <c r="D206" s="21" t="n">
        <f aca="false">C206*Inputs!$C$6/3600</f>
        <v>0.298666666666667</v>
      </c>
      <c r="E206" s="7" t="n">
        <v>2</v>
      </c>
      <c r="F206" s="22" t="n">
        <f aca="false">IF(E206&lt;=D206,"Understaffed",1-POISSON(E206-1,D206,1))</f>
        <v>0.0366404472768543</v>
      </c>
      <c r="G206" s="23" t="n">
        <f aca="false">IF(E206&lt;=D206,0,(1-F206*EXP(-(E206-D206)*Inputs!$C$8/Inputs!$C$6))*100)</f>
        <v>96.8523287548678</v>
      </c>
      <c r="H206" s="24" t="n">
        <f aca="false">ROUNDUP(E206/Inputs!$C$15,0)</f>
        <v>3</v>
      </c>
      <c r="I206" s="23" t="n">
        <f aca="false">IF(E206=0,0,D206/E206*100)</f>
        <v>14.9333333333333</v>
      </c>
      <c r="J206" s="25" t="str">
        <f aca="false">IF(G206&gt;=Inputs!$C$7,"GREEN",IF(G206&gt;=Inputs!$C$7-10,"AMBER","RED"))</f>
        <v>GREEN</v>
      </c>
      <c r="K206" s="20" t="n">
        <v>3.5</v>
      </c>
      <c r="L206" s="20" t="n">
        <v>6.2</v>
      </c>
    </row>
    <row r="207" customFormat="false" ht="15" hidden="false" customHeight="true" outlineLevel="0" collapsed="false">
      <c r="A207" s="26" t="s">
        <v>82</v>
      </c>
      <c r="B207" s="26" t="s">
        <v>59</v>
      </c>
      <c r="C207" s="26" t="n">
        <v>5.1</v>
      </c>
      <c r="D207" s="21" t="n">
        <f aca="false">C207*Inputs!$C$6/3600</f>
        <v>0.317333333333333</v>
      </c>
      <c r="E207" s="7" t="n">
        <v>2</v>
      </c>
      <c r="F207" s="22" t="n">
        <f aca="false">IF(E207&lt;=D207,"Understaffed",1-POISSON(E207-1,D207,1))</f>
        <v>0.0408653834111161</v>
      </c>
      <c r="G207" s="23" t="n">
        <f aca="false">IF(E207&lt;=D207,0,(1-F207*EXP(-(E207-D207)*Inputs!$C$8/Inputs!$C$6))*100)</f>
        <v>96.4835212103744</v>
      </c>
      <c r="H207" s="24" t="n">
        <f aca="false">ROUNDUP(E207/Inputs!$C$15,0)</f>
        <v>3</v>
      </c>
      <c r="I207" s="23" t="n">
        <f aca="false">IF(E207=0,0,D207/E207*100)</f>
        <v>15.8666666666667</v>
      </c>
      <c r="J207" s="25" t="str">
        <f aca="false">IF(G207&gt;=Inputs!$C$7,"GREEN",IF(G207&gt;=Inputs!$C$7-10,"AMBER","RED"))</f>
        <v>GREEN</v>
      </c>
      <c r="K207" s="26" t="n">
        <v>3.8</v>
      </c>
      <c r="L207" s="26" t="n">
        <v>6.6</v>
      </c>
    </row>
    <row r="208" customFormat="false" ht="15" hidden="false" customHeight="true" outlineLevel="0" collapsed="false">
      <c r="A208" s="20" t="s">
        <v>82</v>
      </c>
      <c r="B208" s="20" t="s">
        <v>60</v>
      </c>
      <c r="C208" s="20" t="n">
        <v>5.3</v>
      </c>
      <c r="D208" s="21" t="n">
        <f aca="false">C208*Inputs!$C$6/3600</f>
        <v>0.329777777777778</v>
      </c>
      <c r="E208" s="7" t="n">
        <v>2</v>
      </c>
      <c r="F208" s="22" t="n">
        <f aca="false">IF(E208&lt;=D208,"Understaffed",1-POISSON(E208-1,D208,1))</f>
        <v>0.0437787253572556</v>
      </c>
      <c r="G208" s="23" t="n">
        <f aca="false">IF(E208&lt;=D208,0,(1-F208*EXP(-(E208-D208)*Inputs!$C$8/Inputs!$C$6))*100)</f>
        <v>96.2286391676252</v>
      </c>
      <c r="H208" s="24" t="n">
        <f aca="false">ROUNDUP(E208/Inputs!$C$15,0)</f>
        <v>3</v>
      </c>
      <c r="I208" s="23" t="n">
        <f aca="false">IF(E208=0,0,D208/E208*100)</f>
        <v>16.4888888888889</v>
      </c>
      <c r="J208" s="25" t="str">
        <f aca="false">IF(G208&gt;=Inputs!$C$7,"GREEN",IF(G208&gt;=Inputs!$C$7-10,"AMBER","RED"))</f>
        <v>GREEN</v>
      </c>
      <c r="K208" s="20" t="n">
        <v>3.9</v>
      </c>
      <c r="L208" s="20" t="n">
        <v>6.8</v>
      </c>
    </row>
    <row r="209" customFormat="false" ht="15" hidden="false" customHeight="true" outlineLevel="0" collapsed="false">
      <c r="A209" s="26" t="s">
        <v>83</v>
      </c>
      <c r="B209" s="26" t="s">
        <v>52</v>
      </c>
      <c r="C209" s="26" t="n">
        <v>5.7</v>
      </c>
      <c r="D209" s="21" t="n">
        <f aca="false">C209*Inputs!$C$6/3600</f>
        <v>0.354666666666667</v>
      </c>
      <c r="E209" s="7" t="n">
        <v>2</v>
      </c>
      <c r="F209" s="22" t="n">
        <f aca="false">IF(E209&lt;=D209,"Understaffed",1-POISSON(E209-1,D209,1))</f>
        <v>0.0498270373941074</v>
      </c>
      <c r="G209" s="23" t="n">
        <f aca="false">IF(E209&lt;=D209,0,(1-F209*EXP(-(E209-D209)*Inputs!$C$8/Inputs!$C$6))*100)</f>
        <v>95.6980521807102</v>
      </c>
      <c r="H209" s="24" t="n">
        <f aca="false">ROUNDUP(E209/Inputs!$C$15,0)</f>
        <v>3</v>
      </c>
      <c r="I209" s="23" t="n">
        <f aca="false">IF(E209=0,0,D209/E209*100)</f>
        <v>17.7333333333333</v>
      </c>
      <c r="J209" s="25" t="str">
        <f aca="false">IF(G209&gt;=Inputs!$C$7,"GREEN",IF(G209&gt;=Inputs!$C$7-10,"AMBER","RED"))</f>
        <v>GREEN</v>
      </c>
      <c r="K209" s="26" t="n">
        <v>4.4</v>
      </c>
      <c r="L209" s="26" t="n">
        <v>7</v>
      </c>
    </row>
    <row r="210" customFormat="false" ht="15" hidden="false" customHeight="true" outlineLevel="0" collapsed="false">
      <c r="A210" s="20" t="s">
        <v>83</v>
      </c>
      <c r="B210" s="20" t="s">
        <v>53</v>
      </c>
      <c r="C210" s="20" t="n">
        <v>5.5</v>
      </c>
      <c r="D210" s="21" t="n">
        <f aca="false">C210*Inputs!$C$6/3600</f>
        <v>0.342222222222222</v>
      </c>
      <c r="E210" s="7" t="n">
        <v>2</v>
      </c>
      <c r="F210" s="22" t="n">
        <f aca="false">IF(E210&lt;=D210,"Understaffed",1-POISSON(E210-1,D210,1))</f>
        <v>0.0467667072826541</v>
      </c>
      <c r="G210" s="23" t="n">
        <f aca="false">IF(E210&lt;=D210,0,(1-F210*EXP(-(E210-D210)*Inputs!$C$8/Inputs!$C$6))*100)</f>
        <v>95.9667576698329</v>
      </c>
      <c r="H210" s="24" t="n">
        <f aca="false">ROUNDUP(E210/Inputs!$C$15,0)</f>
        <v>3</v>
      </c>
      <c r="I210" s="23" t="n">
        <f aca="false">IF(E210=0,0,D210/E210*100)</f>
        <v>17.1111111111111</v>
      </c>
      <c r="J210" s="25" t="str">
        <f aca="false">IF(G210&gt;=Inputs!$C$7,"GREEN",IF(G210&gt;=Inputs!$C$7-10,"AMBER","RED"))</f>
        <v>GREEN</v>
      </c>
      <c r="K210" s="20" t="n">
        <v>4.2</v>
      </c>
      <c r="L210" s="20" t="n">
        <v>6.8</v>
      </c>
    </row>
    <row r="211" customFormat="false" ht="15" hidden="false" customHeight="true" outlineLevel="0" collapsed="false">
      <c r="A211" s="26" t="s">
        <v>83</v>
      </c>
      <c r="B211" s="26" t="s">
        <v>54</v>
      </c>
      <c r="C211" s="26" t="n">
        <v>6.1</v>
      </c>
      <c r="D211" s="21" t="n">
        <f aca="false">C211*Inputs!$C$6/3600</f>
        <v>0.379555555555556</v>
      </c>
      <c r="E211" s="7" t="n">
        <v>2</v>
      </c>
      <c r="F211" s="22" t="n">
        <f aca="false">IF(E211&lt;=D211,"Understaffed",1-POISSON(E211-1,D211,1))</f>
        <v>0.0561558005855638</v>
      </c>
      <c r="G211" s="23" t="n">
        <f aca="false">IF(E211&lt;=D211,0,(1-F211*EXP(-(E211-D211)*Inputs!$C$8/Inputs!$C$6))*100)</f>
        <v>95.1408557199438</v>
      </c>
      <c r="H211" s="24" t="n">
        <f aca="false">ROUNDUP(E211/Inputs!$C$15,0)</f>
        <v>3</v>
      </c>
      <c r="I211" s="23" t="n">
        <f aca="false">IF(E211=0,0,D211/E211*100)</f>
        <v>18.9777777777778</v>
      </c>
      <c r="J211" s="25" t="str">
        <f aca="false">IF(G211&gt;=Inputs!$C$7,"GREEN",IF(G211&gt;=Inputs!$C$7-10,"AMBER","RED"))</f>
        <v>GREEN</v>
      </c>
      <c r="K211" s="26" t="n">
        <v>4.7</v>
      </c>
      <c r="L211" s="26" t="n">
        <v>7.6</v>
      </c>
    </row>
    <row r="212" customFormat="false" ht="15" hidden="false" customHeight="true" outlineLevel="0" collapsed="false">
      <c r="A212" s="20" t="s">
        <v>83</v>
      </c>
      <c r="B212" s="20" t="s">
        <v>55</v>
      </c>
      <c r="C212" s="20" t="n">
        <v>5.7</v>
      </c>
      <c r="D212" s="21" t="n">
        <f aca="false">C212*Inputs!$C$6/3600</f>
        <v>0.354666666666667</v>
      </c>
      <c r="E212" s="7" t="n">
        <v>2</v>
      </c>
      <c r="F212" s="22" t="n">
        <f aca="false">IF(E212&lt;=D212,"Understaffed",1-POISSON(E212-1,D212,1))</f>
        <v>0.0498270373941074</v>
      </c>
      <c r="G212" s="23" t="n">
        <f aca="false">IF(E212&lt;=D212,0,(1-F212*EXP(-(E212-D212)*Inputs!$C$8/Inputs!$C$6))*100)</f>
        <v>95.6980521807102</v>
      </c>
      <c r="H212" s="24" t="n">
        <f aca="false">ROUNDUP(E212/Inputs!$C$15,0)</f>
        <v>3</v>
      </c>
      <c r="I212" s="23" t="n">
        <f aca="false">IF(E212=0,0,D212/E212*100)</f>
        <v>17.7333333333333</v>
      </c>
      <c r="J212" s="25" t="str">
        <f aca="false">IF(G212&gt;=Inputs!$C$7,"GREEN",IF(G212&gt;=Inputs!$C$7-10,"AMBER","RED"))</f>
        <v>GREEN</v>
      </c>
      <c r="K212" s="20" t="n">
        <v>4.4</v>
      </c>
      <c r="L212" s="20" t="n">
        <v>7</v>
      </c>
    </row>
    <row r="213" customFormat="false" ht="15" hidden="false" customHeight="true" outlineLevel="0" collapsed="false">
      <c r="A213" s="26" t="s">
        <v>83</v>
      </c>
      <c r="B213" s="26" t="s">
        <v>56</v>
      </c>
      <c r="C213" s="26" t="n">
        <v>6.2</v>
      </c>
      <c r="D213" s="21" t="n">
        <f aca="false">C213*Inputs!$C$6/3600</f>
        <v>0.385777777777778</v>
      </c>
      <c r="E213" s="7" t="n">
        <v>2</v>
      </c>
      <c r="F213" s="22" t="n">
        <f aca="false">IF(E213&lt;=D213,"Understaffed",1-POISSON(E213-1,D213,1))</f>
        <v>0.0577797525096471</v>
      </c>
      <c r="G213" s="23" t="n">
        <f aca="false">IF(E213&lt;=D213,0,(1-F213*EXP(-(E213-D213)*Inputs!$C$8/Inputs!$C$6))*100)</f>
        <v>94.9975572927541</v>
      </c>
      <c r="H213" s="24" t="n">
        <f aca="false">ROUNDUP(E213/Inputs!$C$15,0)</f>
        <v>3</v>
      </c>
      <c r="I213" s="23" t="n">
        <f aca="false">IF(E213=0,0,D213/E213*100)</f>
        <v>19.2888888888889</v>
      </c>
      <c r="J213" s="25" t="str">
        <f aca="false">IF(G213&gt;=Inputs!$C$7,"GREEN",IF(G213&gt;=Inputs!$C$7-10,"AMBER","RED"))</f>
        <v>GREEN</v>
      </c>
      <c r="K213" s="26" t="n">
        <v>4.8</v>
      </c>
      <c r="L213" s="26" t="n">
        <v>7.6</v>
      </c>
    </row>
    <row r="214" customFormat="false" ht="15" hidden="false" customHeight="true" outlineLevel="0" collapsed="false">
      <c r="A214" s="20" t="s">
        <v>83</v>
      </c>
      <c r="B214" s="20" t="s">
        <v>57</v>
      </c>
      <c r="C214" s="20" t="n">
        <v>5.2</v>
      </c>
      <c r="D214" s="21" t="n">
        <f aca="false">C214*Inputs!$C$6/3600</f>
        <v>0.323555555555556</v>
      </c>
      <c r="E214" s="7" t="n">
        <v>2</v>
      </c>
      <c r="F214" s="22" t="n">
        <f aca="false">IF(E214&lt;=D214,"Understaffed",1-POISSON(E214-1,D214,1))</f>
        <v>0.0423125793600404</v>
      </c>
      <c r="G214" s="23" t="n">
        <f aca="false">IF(E214&lt;=D214,0,(1-F214*EXP(-(E214-D214)*Inputs!$C$8/Inputs!$C$6))*100)</f>
        <v>96.3569662090607</v>
      </c>
      <c r="H214" s="24" t="n">
        <f aca="false">ROUNDUP(E214/Inputs!$C$15,0)</f>
        <v>3</v>
      </c>
      <c r="I214" s="23" t="n">
        <f aca="false">IF(E214=0,0,D214/E214*100)</f>
        <v>16.1777777777778</v>
      </c>
      <c r="J214" s="25" t="str">
        <f aca="false">IF(G214&gt;=Inputs!$C$7,"GREEN",IF(G214&gt;=Inputs!$C$7-10,"AMBER","RED"))</f>
        <v>GREEN</v>
      </c>
      <c r="K214" s="20" t="n">
        <v>4</v>
      </c>
      <c r="L214" s="20" t="n">
        <v>6.4</v>
      </c>
    </row>
    <row r="215" customFormat="false" ht="15" hidden="false" customHeight="true" outlineLevel="0" collapsed="false">
      <c r="A215" s="26" t="s">
        <v>83</v>
      </c>
      <c r="B215" s="26" t="s">
        <v>58</v>
      </c>
      <c r="C215" s="26" t="n">
        <v>5.6</v>
      </c>
      <c r="D215" s="21" t="n">
        <f aca="false">C215*Inputs!$C$6/3600</f>
        <v>0.348444444444444</v>
      </c>
      <c r="E215" s="7" t="n">
        <v>2</v>
      </c>
      <c r="F215" s="22" t="n">
        <f aca="false">IF(E215&lt;=D215,"Understaffed",1-POISSON(E215-1,D215,1))</f>
        <v>0.048287970274747</v>
      </c>
      <c r="G215" s="23" t="n">
        <f aca="false">IF(E215&lt;=D215,0,(1-F215*EXP(-(E215-D215)*Inputs!$C$8/Inputs!$C$6))*100)</f>
        <v>95.8332470786567</v>
      </c>
      <c r="H215" s="24" t="n">
        <f aca="false">ROUNDUP(E215/Inputs!$C$15,0)</f>
        <v>3</v>
      </c>
      <c r="I215" s="23" t="n">
        <f aca="false">IF(E215=0,0,D215/E215*100)</f>
        <v>17.4222222222222</v>
      </c>
      <c r="J215" s="25" t="str">
        <f aca="false">IF(G215&gt;=Inputs!$C$7,"GREEN",IF(G215&gt;=Inputs!$C$7-10,"AMBER","RED"))</f>
        <v>GREEN</v>
      </c>
      <c r="K215" s="26" t="n">
        <v>4.3</v>
      </c>
      <c r="L215" s="26" t="n">
        <v>6.8</v>
      </c>
    </row>
    <row r="216" customFormat="false" ht="15" hidden="false" customHeight="true" outlineLevel="0" collapsed="false">
      <c r="A216" s="20" t="s">
        <v>83</v>
      </c>
      <c r="B216" s="20" t="s">
        <v>59</v>
      </c>
      <c r="C216" s="20" t="n">
        <v>5.9</v>
      </c>
      <c r="D216" s="21" t="n">
        <f aca="false">C216*Inputs!$C$6/3600</f>
        <v>0.367111111111111</v>
      </c>
      <c r="E216" s="7" t="n">
        <v>2</v>
      </c>
      <c r="F216" s="22" t="n">
        <f aca="false">IF(E216&lt;=D216,"Understaffed",1-POISSON(E216-1,D216,1))</f>
        <v>0.0529574691688954</v>
      </c>
      <c r="G216" s="23" t="n">
        <f aca="false">IF(E216&lt;=D216,0,(1-F216*EXP(-(E216-D216)*Inputs!$C$8/Inputs!$C$6))*100)</f>
        <v>95.4226950818606</v>
      </c>
      <c r="H216" s="24" t="n">
        <f aca="false">ROUNDUP(E216/Inputs!$C$15,0)</f>
        <v>3</v>
      </c>
      <c r="I216" s="23" t="n">
        <f aca="false">IF(E216=0,0,D216/E216*100)</f>
        <v>18.3555555555556</v>
      </c>
      <c r="J216" s="25" t="str">
        <f aca="false">IF(G216&gt;=Inputs!$C$7,"GREEN",IF(G216&gt;=Inputs!$C$7-10,"AMBER","RED"))</f>
        <v>GREEN</v>
      </c>
      <c r="K216" s="20" t="n">
        <v>4.6</v>
      </c>
      <c r="L216" s="20" t="n">
        <v>7.3</v>
      </c>
    </row>
    <row r="217" customFormat="false" ht="15" hidden="false" customHeight="true" outlineLevel="0" collapsed="false">
      <c r="A217" s="26" t="s">
        <v>83</v>
      </c>
      <c r="B217" s="26" t="s">
        <v>60</v>
      </c>
      <c r="C217" s="26" t="n">
        <v>6.1</v>
      </c>
      <c r="D217" s="21" t="n">
        <f aca="false">C217*Inputs!$C$6/3600</f>
        <v>0.379555555555556</v>
      </c>
      <c r="E217" s="7" t="n">
        <v>2</v>
      </c>
      <c r="F217" s="22" t="n">
        <f aca="false">IF(E217&lt;=D217,"Understaffed",1-POISSON(E217-1,D217,1))</f>
        <v>0.0561558005855638</v>
      </c>
      <c r="G217" s="23" t="n">
        <f aca="false">IF(E217&lt;=D217,0,(1-F217*EXP(-(E217-D217)*Inputs!$C$8/Inputs!$C$6))*100)</f>
        <v>95.1408557199438</v>
      </c>
      <c r="H217" s="24" t="n">
        <f aca="false">ROUNDUP(E217/Inputs!$C$15,0)</f>
        <v>3</v>
      </c>
      <c r="I217" s="23" t="n">
        <f aca="false">IF(E217=0,0,D217/E217*100)</f>
        <v>18.9777777777778</v>
      </c>
      <c r="J217" s="25" t="str">
        <f aca="false">IF(G217&gt;=Inputs!$C$7,"GREEN",IF(G217&gt;=Inputs!$C$7-10,"AMBER","RED"))</f>
        <v>GREEN</v>
      </c>
      <c r="K217" s="26" t="n">
        <v>4.7</v>
      </c>
      <c r="L217" s="26" t="n">
        <v>7.5</v>
      </c>
    </row>
    <row r="218" customFormat="false" ht="15" hidden="false" customHeight="true" outlineLevel="0" collapsed="false">
      <c r="A218" s="20" t="s">
        <v>84</v>
      </c>
      <c r="B218" s="20" t="s">
        <v>52</v>
      </c>
      <c r="C218" s="20" t="n">
        <v>5.3</v>
      </c>
      <c r="D218" s="21" t="n">
        <f aca="false">C218*Inputs!$C$6/3600</f>
        <v>0.329777777777778</v>
      </c>
      <c r="E218" s="7" t="n">
        <v>2</v>
      </c>
      <c r="F218" s="22" t="n">
        <f aca="false">IF(E218&lt;=D218,"Understaffed",1-POISSON(E218-1,D218,1))</f>
        <v>0.0437787253572556</v>
      </c>
      <c r="G218" s="23" t="n">
        <f aca="false">IF(E218&lt;=D218,0,(1-F218*EXP(-(E218-D218)*Inputs!$C$8/Inputs!$C$6))*100)</f>
        <v>96.2286391676252</v>
      </c>
      <c r="H218" s="24" t="n">
        <f aca="false">ROUNDUP(E218/Inputs!$C$15,0)</f>
        <v>3</v>
      </c>
      <c r="I218" s="23" t="n">
        <f aca="false">IF(E218=0,0,D218/E218*100)</f>
        <v>16.4888888888889</v>
      </c>
      <c r="J218" s="25" t="str">
        <f aca="false">IF(G218&gt;=Inputs!$C$7,"GREEN",IF(G218&gt;=Inputs!$C$7-10,"AMBER","RED"))</f>
        <v>GREEN</v>
      </c>
      <c r="K218" s="20" t="n">
        <v>4</v>
      </c>
      <c r="L218" s="20" t="n">
        <v>6.6</v>
      </c>
    </row>
    <row r="219" customFormat="false" ht="15" hidden="false" customHeight="true" outlineLevel="0" collapsed="false">
      <c r="A219" s="26" t="s">
        <v>84</v>
      </c>
      <c r="B219" s="26" t="s">
        <v>53</v>
      </c>
      <c r="C219" s="26" t="n">
        <v>5.1</v>
      </c>
      <c r="D219" s="21" t="n">
        <f aca="false">C219*Inputs!$C$6/3600</f>
        <v>0.317333333333333</v>
      </c>
      <c r="E219" s="7" t="n">
        <v>2</v>
      </c>
      <c r="F219" s="22" t="n">
        <f aca="false">IF(E219&lt;=D219,"Understaffed",1-POISSON(E219-1,D219,1))</f>
        <v>0.0408653834111161</v>
      </c>
      <c r="G219" s="23" t="n">
        <f aca="false">IF(E219&lt;=D219,0,(1-F219*EXP(-(E219-D219)*Inputs!$C$8/Inputs!$C$6))*100)</f>
        <v>96.4835212103744</v>
      </c>
      <c r="H219" s="24" t="n">
        <f aca="false">ROUNDUP(E219/Inputs!$C$15,0)</f>
        <v>3</v>
      </c>
      <c r="I219" s="23" t="n">
        <f aca="false">IF(E219=0,0,D219/E219*100)</f>
        <v>15.8666666666667</v>
      </c>
      <c r="J219" s="25" t="str">
        <f aca="false">IF(G219&gt;=Inputs!$C$7,"GREEN",IF(G219&gt;=Inputs!$C$7-10,"AMBER","RED"))</f>
        <v>GREEN</v>
      </c>
      <c r="K219" s="26" t="n">
        <v>3.8</v>
      </c>
      <c r="L219" s="26" t="n">
        <v>6.4</v>
      </c>
    </row>
    <row r="220" customFormat="false" ht="15" hidden="false" customHeight="true" outlineLevel="0" collapsed="false">
      <c r="A220" s="20" t="s">
        <v>84</v>
      </c>
      <c r="B220" s="20" t="s">
        <v>54</v>
      </c>
      <c r="C220" s="20" t="n">
        <v>5.7</v>
      </c>
      <c r="D220" s="21" t="n">
        <f aca="false">C220*Inputs!$C$6/3600</f>
        <v>0.354666666666667</v>
      </c>
      <c r="E220" s="7" t="n">
        <v>2</v>
      </c>
      <c r="F220" s="22" t="n">
        <f aca="false">IF(E220&lt;=D220,"Understaffed",1-POISSON(E220-1,D220,1))</f>
        <v>0.0498270373941074</v>
      </c>
      <c r="G220" s="23" t="n">
        <f aca="false">IF(E220&lt;=D220,0,(1-F220*EXP(-(E220-D220)*Inputs!$C$8/Inputs!$C$6))*100)</f>
        <v>95.6980521807102</v>
      </c>
      <c r="H220" s="24" t="n">
        <f aca="false">ROUNDUP(E220/Inputs!$C$15,0)</f>
        <v>3</v>
      </c>
      <c r="I220" s="23" t="n">
        <f aca="false">IF(E220=0,0,D220/E220*100)</f>
        <v>17.7333333333333</v>
      </c>
      <c r="J220" s="25" t="str">
        <f aca="false">IF(G220&gt;=Inputs!$C$7,"GREEN",IF(G220&gt;=Inputs!$C$7-10,"AMBER","RED"))</f>
        <v>GREEN</v>
      </c>
      <c r="K220" s="20" t="n">
        <v>4.2</v>
      </c>
      <c r="L220" s="20" t="n">
        <v>7.1</v>
      </c>
    </row>
    <row r="221" customFormat="false" ht="15" hidden="false" customHeight="true" outlineLevel="0" collapsed="false">
      <c r="A221" s="26" t="s">
        <v>84</v>
      </c>
      <c r="B221" s="26" t="s">
        <v>55</v>
      </c>
      <c r="C221" s="26" t="n">
        <v>5.3</v>
      </c>
      <c r="D221" s="21" t="n">
        <f aca="false">C221*Inputs!$C$6/3600</f>
        <v>0.329777777777778</v>
      </c>
      <c r="E221" s="7" t="n">
        <v>2</v>
      </c>
      <c r="F221" s="22" t="n">
        <f aca="false">IF(E221&lt;=D221,"Understaffed",1-POISSON(E221-1,D221,1))</f>
        <v>0.0437787253572556</v>
      </c>
      <c r="G221" s="23" t="n">
        <f aca="false">IF(E221&lt;=D221,0,(1-F221*EXP(-(E221-D221)*Inputs!$C$8/Inputs!$C$6))*100)</f>
        <v>96.2286391676252</v>
      </c>
      <c r="H221" s="24" t="n">
        <f aca="false">ROUNDUP(E221/Inputs!$C$15,0)</f>
        <v>3</v>
      </c>
      <c r="I221" s="23" t="n">
        <f aca="false">IF(E221=0,0,D221/E221*100)</f>
        <v>16.4888888888889</v>
      </c>
      <c r="J221" s="25" t="str">
        <f aca="false">IF(G221&gt;=Inputs!$C$7,"GREEN",IF(G221&gt;=Inputs!$C$7-10,"AMBER","RED"))</f>
        <v>GREEN</v>
      </c>
      <c r="K221" s="26" t="n">
        <v>4</v>
      </c>
      <c r="L221" s="26" t="n">
        <v>6.6</v>
      </c>
    </row>
    <row r="222" customFormat="false" ht="15" hidden="false" customHeight="true" outlineLevel="0" collapsed="false">
      <c r="A222" s="20" t="s">
        <v>84</v>
      </c>
      <c r="B222" s="20" t="s">
        <v>56</v>
      </c>
      <c r="C222" s="20" t="n">
        <v>5.7</v>
      </c>
      <c r="D222" s="21" t="n">
        <f aca="false">C222*Inputs!$C$6/3600</f>
        <v>0.354666666666667</v>
      </c>
      <c r="E222" s="7" t="n">
        <v>2</v>
      </c>
      <c r="F222" s="22" t="n">
        <f aca="false">IF(E222&lt;=D222,"Understaffed",1-POISSON(E222-1,D222,1))</f>
        <v>0.0498270373941074</v>
      </c>
      <c r="G222" s="23" t="n">
        <f aca="false">IF(E222&lt;=D222,0,(1-F222*EXP(-(E222-D222)*Inputs!$C$8/Inputs!$C$6))*100)</f>
        <v>95.6980521807102</v>
      </c>
      <c r="H222" s="24" t="n">
        <f aca="false">ROUNDUP(E222/Inputs!$C$15,0)</f>
        <v>3</v>
      </c>
      <c r="I222" s="23" t="n">
        <f aca="false">IF(E222=0,0,D222/E222*100)</f>
        <v>17.7333333333333</v>
      </c>
      <c r="J222" s="25" t="str">
        <f aca="false">IF(G222&gt;=Inputs!$C$7,"GREEN",IF(G222&gt;=Inputs!$C$7-10,"AMBER","RED"))</f>
        <v>GREEN</v>
      </c>
      <c r="K222" s="20" t="n">
        <v>4.3</v>
      </c>
      <c r="L222" s="20" t="n">
        <v>7.1</v>
      </c>
    </row>
    <row r="223" customFormat="false" ht="15" hidden="false" customHeight="true" outlineLevel="0" collapsed="false">
      <c r="A223" s="26" t="s">
        <v>84</v>
      </c>
      <c r="B223" s="26" t="s">
        <v>57</v>
      </c>
      <c r="C223" s="26" t="n">
        <v>4.8</v>
      </c>
      <c r="D223" s="21" t="n">
        <f aca="false">C223*Inputs!$C$6/3600</f>
        <v>0.298666666666667</v>
      </c>
      <c r="E223" s="7" t="n">
        <v>2</v>
      </c>
      <c r="F223" s="22" t="n">
        <f aca="false">IF(E223&lt;=D223,"Understaffed",1-POISSON(E223-1,D223,1))</f>
        <v>0.0366404472768543</v>
      </c>
      <c r="G223" s="23" t="n">
        <f aca="false">IF(E223&lt;=D223,0,(1-F223*EXP(-(E223-D223)*Inputs!$C$8/Inputs!$C$6))*100)</f>
        <v>96.8523287548678</v>
      </c>
      <c r="H223" s="24" t="n">
        <f aca="false">ROUNDUP(E223/Inputs!$C$15,0)</f>
        <v>3</v>
      </c>
      <c r="I223" s="23" t="n">
        <f aca="false">IF(E223=0,0,D223/E223*100)</f>
        <v>14.9333333333333</v>
      </c>
      <c r="J223" s="25" t="str">
        <f aca="false">IF(G223&gt;=Inputs!$C$7,"GREEN",IF(G223&gt;=Inputs!$C$7-10,"AMBER","RED"))</f>
        <v>GREEN</v>
      </c>
      <c r="K223" s="26" t="n">
        <v>3.6</v>
      </c>
      <c r="L223" s="26" t="n">
        <v>6</v>
      </c>
    </row>
    <row r="224" customFormat="false" ht="15" hidden="false" customHeight="true" outlineLevel="0" collapsed="false">
      <c r="A224" s="20" t="s">
        <v>84</v>
      </c>
      <c r="B224" s="20" t="s">
        <v>58</v>
      </c>
      <c r="C224" s="20" t="n">
        <v>5.1</v>
      </c>
      <c r="D224" s="21" t="n">
        <f aca="false">C224*Inputs!$C$6/3600</f>
        <v>0.317333333333333</v>
      </c>
      <c r="E224" s="7" t="n">
        <v>2</v>
      </c>
      <c r="F224" s="22" t="n">
        <f aca="false">IF(E224&lt;=D224,"Understaffed",1-POISSON(E224-1,D224,1))</f>
        <v>0.0408653834111161</v>
      </c>
      <c r="G224" s="23" t="n">
        <f aca="false">IF(E224&lt;=D224,0,(1-F224*EXP(-(E224-D224)*Inputs!$C$8/Inputs!$C$6))*100)</f>
        <v>96.4835212103744</v>
      </c>
      <c r="H224" s="24" t="n">
        <f aca="false">ROUNDUP(E224/Inputs!$C$15,0)</f>
        <v>3</v>
      </c>
      <c r="I224" s="23" t="n">
        <f aca="false">IF(E224=0,0,D224/E224*100)</f>
        <v>15.8666666666667</v>
      </c>
      <c r="J224" s="25" t="str">
        <f aca="false">IF(G224&gt;=Inputs!$C$7,"GREEN",IF(G224&gt;=Inputs!$C$7-10,"AMBER","RED"))</f>
        <v>GREEN</v>
      </c>
      <c r="K224" s="20" t="n">
        <v>3.9</v>
      </c>
      <c r="L224" s="20" t="n">
        <v>6.4</v>
      </c>
    </row>
    <row r="225" customFormat="false" ht="15" hidden="false" customHeight="true" outlineLevel="0" collapsed="false">
      <c r="A225" s="26" t="s">
        <v>84</v>
      </c>
      <c r="B225" s="26" t="s">
        <v>59</v>
      </c>
      <c r="C225" s="26" t="n">
        <v>5.5</v>
      </c>
      <c r="D225" s="21" t="n">
        <f aca="false">C225*Inputs!$C$6/3600</f>
        <v>0.342222222222222</v>
      </c>
      <c r="E225" s="7" t="n">
        <v>2</v>
      </c>
      <c r="F225" s="22" t="n">
        <f aca="false">IF(E225&lt;=D225,"Understaffed",1-POISSON(E225-1,D225,1))</f>
        <v>0.0467667072826541</v>
      </c>
      <c r="G225" s="23" t="n">
        <f aca="false">IF(E225&lt;=D225,0,(1-F225*EXP(-(E225-D225)*Inputs!$C$8/Inputs!$C$6))*100)</f>
        <v>95.9667576698329</v>
      </c>
      <c r="H225" s="24" t="n">
        <f aca="false">ROUNDUP(E225/Inputs!$C$15,0)</f>
        <v>3</v>
      </c>
      <c r="I225" s="23" t="n">
        <f aca="false">IF(E225=0,0,D225/E225*100)</f>
        <v>17.1111111111111</v>
      </c>
      <c r="J225" s="25" t="str">
        <f aca="false">IF(G225&gt;=Inputs!$C$7,"GREEN",IF(G225&gt;=Inputs!$C$7-10,"AMBER","RED"))</f>
        <v>GREEN</v>
      </c>
      <c r="K225" s="26" t="n">
        <v>4.1</v>
      </c>
      <c r="L225" s="26" t="n">
        <v>6.8</v>
      </c>
    </row>
    <row r="226" customFormat="false" ht="15" hidden="false" customHeight="true" outlineLevel="0" collapsed="false">
      <c r="A226" s="20" t="s">
        <v>84</v>
      </c>
      <c r="B226" s="20" t="s">
        <v>60</v>
      </c>
      <c r="C226" s="20" t="n">
        <v>5.6</v>
      </c>
      <c r="D226" s="21" t="n">
        <f aca="false">C226*Inputs!$C$6/3600</f>
        <v>0.348444444444444</v>
      </c>
      <c r="E226" s="7" t="n">
        <v>2</v>
      </c>
      <c r="F226" s="22" t="n">
        <f aca="false">IF(E226&lt;=D226,"Understaffed",1-POISSON(E226-1,D226,1))</f>
        <v>0.048287970274747</v>
      </c>
      <c r="G226" s="23" t="n">
        <f aca="false">IF(E226&lt;=D226,0,(1-F226*EXP(-(E226-D226)*Inputs!$C$8/Inputs!$C$6))*100)</f>
        <v>95.8332470786567</v>
      </c>
      <c r="H226" s="24" t="n">
        <f aca="false">ROUNDUP(E226/Inputs!$C$15,0)</f>
        <v>3</v>
      </c>
      <c r="I226" s="23" t="n">
        <f aca="false">IF(E226=0,0,D226/E226*100)</f>
        <v>17.4222222222222</v>
      </c>
      <c r="J226" s="25" t="str">
        <f aca="false">IF(G226&gt;=Inputs!$C$7,"GREEN",IF(G226&gt;=Inputs!$C$7-10,"AMBER","RED"))</f>
        <v>GREEN</v>
      </c>
      <c r="K226" s="20" t="n">
        <v>4.2</v>
      </c>
      <c r="L226" s="20" t="n">
        <v>7</v>
      </c>
    </row>
    <row r="227" customFormat="false" ht="15" hidden="false" customHeight="true" outlineLevel="0" collapsed="false">
      <c r="A227" s="26" t="s">
        <v>85</v>
      </c>
      <c r="B227" s="26" t="s">
        <v>52</v>
      </c>
      <c r="C227" s="26" t="n">
        <v>5.7</v>
      </c>
      <c r="D227" s="21" t="n">
        <f aca="false">C227*Inputs!$C$6/3600</f>
        <v>0.354666666666667</v>
      </c>
      <c r="E227" s="7" t="n">
        <v>2</v>
      </c>
      <c r="F227" s="22" t="n">
        <f aca="false">IF(E227&lt;=D227,"Understaffed",1-POISSON(E227-1,D227,1))</f>
        <v>0.0498270373941074</v>
      </c>
      <c r="G227" s="23" t="n">
        <f aca="false">IF(E227&lt;=D227,0,(1-F227*EXP(-(E227-D227)*Inputs!$C$8/Inputs!$C$6))*100)</f>
        <v>95.6980521807102</v>
      </c>
      <c r="H227" s="24" t="n">
        <f aca="false">ROUNDUP(E227/Inputs!$C$15,0)</f>
        <v>3</v>
      </c>
      <c r="I227" s="23" t="n">
        <f aca="false">IF(E227=0,0,D227/E227*100)</f>
        <v>17.7333333333333</v>
      </c>
      <c r="J227" s="25" t="str">
        <f aca="false">IF(G227&gt;=Inputs!$C$7,"GREEN",IF(G227&gt;=Inputs!$C$7-10,"AMBER","RED"))</f>
        <v>GREEN</v>
      </c>
      <c r="K227" s="26" t="n">
        <v>4.4</v>
      </c>
      <c r="L227" s="26" t="n">
        <v>6.9</v>
      </c>
    </row>
    <row r="228" customFormat="false" ht="15" hidden="false" customHeight="true" outlineLevel="0" collapsed="false">
      <c r="A228" s="20" t="s">
        <v>85</v>
      </c>
      <c r="B228" s="20" t="s">
        <v>53</v>
      </c>
      <c r="C228" s="20" t="n">
        <v>5.5</v>
      </c>
      <c r="D228" s="21" t="n">
        <f aca="false">C228*Inputs!$C$6/3600</f>
        <v>0.342222222222222</v>
      </c>
      <c r="E228" s="7" t="n">
        <v>2</v>
      </c>
      <c r="F228" s="22" t="n">
        <f aca="false">IF(E228&lt;=D228,"Understaffed",1-POISSON(E228-1,D228,1))</f>
        <v>0.0467667072826541</v>
      </c>
      <c r="G228" s="23" t="n">
        <f aca="false">IF(E228&lt;=D228,0,(1-F228*EXP(-(E228-D228)*Inputs!$C$8/Inputs!$C$6))*100)</f>
        <v>95.9667576698329</v>
      </c>
      <c r="H228" s="24" t="n">
        <f aca="false">ROUNDUP(E228/Inputs!$C$15,0)</f>
        <v>3</v>
      </c>
      <c r="I228" s="23" t="n">
        <f aca="false">IF(E228=0,0,D228/E228*100)</f>
        <v>17.1111111111111</v>
      </c>
      <c r="J228" s="25" t="str">
        <f aca="false">IF(G228&gt;=Inputs!$C$7,"GREEN",IF(G228&gt;=Inputs!$C$7-10,"AMBER","RED"))</f>
        <v>GREEN</v>
      </c>
      <c r="K228" s="20" t="n">
        <v>4.2</v>
      </c>
      <c r="L228" s="20" t="n">
        <v>6.7</v>
      </c>
    </row>
    <row r="229" customFormat="false" ht="15" hidden="false" customHeight="true" outlineLevel="0" collapsed="false">
      <c r="A229" s="26" t="s">
        <v>85</v>
      </c>
      <c r="B229" s="26" t="s">
        <v>54</v>
      </c>
      <c r="C229" s="26" t="n">
        <v>6.1</v>
      </c>
      <c r="D229" s="21" t="n">
        <f aca="false">C229*Inputs!$C$6/3600</f>
        <v>0.379555555555556</v>
      </c>
      <c r="E229" s="7" t="n">
        <v>2</v>
      </c>
      <c r="F229" s="22" t="n">
        <f aca="false">IF(E229&lt;=D229,"Understaffed",1-POISSON(E229-1,D229,1))</f>
        <v>0.0561558005855638</v>
      </c>
      <c r="G229" s="23" t="n">
        <f aca="false">IF(E229&lt;=D229,0,(1-F229*EXP(-(E229-D229)*Inputs!$C$8/Inputs!$C$6))*100)</f>
        <v>95.1408557199438</v>
      </c>
      <c r="H229" s="24" t="n">
        <f aca="false">ROUNDUP(E229/Inputs!$C$15,0)</f>
        <v>3</v>
      </c>
      <c r="I229" s="23" t="n">
        <f aca="false">IF(E229=0,0,D229/E229*100)</f>
        <v>18.9777777777778</v>
      </c>
      <c r="J229" s="25" t="str">
        <f aca="false">IF(G229&gt;=Inputs!$C$7,"GREEN",IF(G229&gt;=Inputs!$C$7-10,"AMBER","RED"))</f>
        <v>GREEN</v>
      </c>
      <c r="K229" s="26" t="n">
        <v>4.7</v>
      </c>
      <c r="L229" s="26" t="n">
        <v>7.4</v>
      </c>
    </row>
    <row r="230" customFormat="false" ht="15" hidden="false" customHeight="true" outlineLevel="0" collapsed="false">
      <c r="A230" s="20" t="s">
        <v>85</v>
      </c>
      <c r="B230" s="20" t="s">
        <v>55</v>
      </c>
      <c r="C230" s="20" t="n">
        <v>5.7</v>
      </c>
      <c r="D230" s="21" t="n">
        <f aca="false">C230*Inputs!$C$6/3600</f>
        <v>0.354666666666667</v>
      </c>
      <c r="E230" s="7" t="n">
        <v>2</v>
      </c>
      <c r="F230" s="22" t="n">
        <f aca="false">IF(E230&lt;=D230,"Understaffed",1-POISSON(E230-1,D230,1))</f>
        <v>0.0498270373941074</v>
      </c>
      <c r="G230" s="23" t="n">
        <f aca="false">IF(E230&lt;=D230,0,(1-F230*EXP(-(E230-D230)*Inputs!$C$8/Inputs!$C$6))*100)</f>
        <v>95.6980521807102</v>
      </c>
      <c r="H230" s="24" t="n">
        <f aca="false">ROUNDUP(E230/Inputs!$C$15,0)</f>
        <v>3</v>
      </c>
      <c r="I230" s="23" t="n">
        <f aca="false">IF(E230=0,0,D230/E230*100)</f>
        <v>17.7333333333333</v>
      </c>
      <c r="J230" s="25" t="str">
        <f aca="false">IF(G230&gt;=Inputs!$C$7,"GREEN",IF(G230&gt;=Inputs!$C$7-10,"AMBER","RED"))</f>
        <v>GREEN</v>
      </c>
      <c r="K230" s="20" t="n">
        <v>4.4</v>
      </c>
      <c r="L230" s="20" t="n">
        <v>6.9</v>
      </c>
    </row>
    <row r="231" customFormat="false" ht="15" hidden="false" customHeight="true" outlineLevel="0" collapsed="false">
      <c r="A231" s="26" t="s">
        <v>85</v>
      </c>
      <c r="B231" s="26" t="s">
        <v>56</v>
      </c>
      <c r="C231" s="26" t="n">
        <v>6.2</v>
      </c>
      <c r="D231" s="21" t="n">
        <f aca="false">C231*Inputs!$C$6/3600</f>
        <v>0.385777777777778</v>
      </c>
      <c r="E231" s="7" t="n">
        <v>2</v>
      </c>
      <c r="F231" s="22" t="n">
        <f aca="false">IF(E231&lt;=D231,"Understaffed",1-POISSON(E231-1,D231,1))</f>
        <v>0.0577797525096471</v>
      </c>
      <c r="G231" s="23" t="n">
        <f aca="false">IF(E231&lt;=D231,0,(1-F231*EXP(-(E231-D231)*Inputs!$C$8/Inputs!$C$6))*100)</f>
        <v>94.9975572927541</v>
      </c>
      <c r="H231" s="24" t="n">
        <f aca="false">ROUNDUP(E231/Inputs!$C$15,0)</f>
        <v>3</v>
      </c>
      <c r="I231" s="23" t="n">
        <f aca="false">IF(E231=0,0,D231/E231*100)</f>
        <v>19.2888888888889</v>
      </c>
      <c r="J231" s="25" t="str">
        <f aca="false">IF(G231&gt;=Inputs!$C$7,"GREEN",IF(G231&gt;=Inputs!$C$7-10,"AMBER","RED"))</f>
        <v>GREEN</v>
      </c>
      <c r="K231" s="26" t="n">
        <v>4.8</v>
      </c>
      <c r="L231" s="26" t="n">
        <v>7.5</v>
      </c>
    </row>
    <row r="232" customFormat="false" ht="15" hidden="false" customHeight="true" outlineLevel="0" collapsed="false">
      <c r="A232" s="20" t="s">
        <v>85</v>
      </c>
      <c r="B232" s="20" t="s">
        <v>57</v>
      </c>
      <c r="C232" s="20" t="n">
        <v>5.2</v>
      </c>
      <c r="D232" s="21" t="n">
        <f aca="false">C232*Inputs!$C$6/3600</f>
        <v>0.323555555555556</v>
      </c>
      <c r="E232" s="7" t="n">
        <v>2</v>
      </c>
      <c r="F232" s="22" t="n">
        <f aca="false">IF(E232&lt;=D232,"Understaffed",1-POISSON(E232-1,D232,1))</f>
        <v>0.0423125793600404</v>
      </c>
      <c r="G232" s="23" t="n">
        <f aca="false">IF(E232&lt;=D232,0,(1-F232*EXP(-(E232-D232)*Inputs!$C$8/Inputs!$C$6))*100)</f>
        <v>96.3569662090607</v>
      </c>
      <c r="H232" s="24" t="n">
        <f aca="false">ROUNDUP(E232/Inputs!$C$15,0)</f>
        <v>3</v>
      </c>
      <c r="I232" s="23" t="n">
        <f aca="false">IF(E232=0,0,D232/E232*100)</f>
        <v>16.1777777777778</v>
      </c>
      <c r="J232" s="25" t="str">
        <f aca="false">IF(G232&gt;=Inputs!$C$7,"GREEN",IF(G232&gt;=Inputs!$C$7-10,"AMBER","RED"))</f>
        <v>GREEN</v>
      </c>
      <c r="K232" s="20" t="n">
        <v>4</v>
      </c>
      <c r="L232" s="20" t="n">
        <v>6.3</v>
      </c>
    </row>
    <row r="233" customFormat="false" ht="15" hidden="false" customHeight="true" outlineLevel="0" collapsed="false">
      <c r="A233" s="26" t="s">
        <v>85</v>
      </c>
      <c r="B233" s="26" t="s">
        <v>58</v>
      </c>
      <c r="C233" s="26" t="n">
        <v>5.6</v>
      </c>
      <c r="D233" s="21" t="n">
        <f aca="false">C233*Inputs!$C$6/3600</f>
        <v>0.348444444444444</v>
      </c>
      <c r="E233" s="7" t="n">
        <v>2</v>
      </c>
      <c r="F233" s="22" t="n">
        <f aca="false">IF(E233&lt;=D233,"Understaffed",1-POISSON(E233-1,D233,1))</f>
        <v>0.048287970274747</v>
      </c>
      <c r="G233" s="23" t="n">
        <f aca="false">IF(E233&lt;=D233,0,(1-F233*EXP(-(E233-D233)*Inputs!$C$8/Inputs!$C$6))*100)</f>
        <v>95.8332470786567</v>
      </c>
      <c r="H233" s="24" t="n">
        <f aca="false">ROUNDUP(E233/Inputs!$C$15,0)</f>
        <v>3</v>
      </c>
      <c r="I233" s="23" t="n">
        <f aca="false">IF(E233=0,0,D233/E233*100)</f>
        <v>17.4222222222222</v>
      </c>
      <c r="J233" s="25" t="str">
        <f aca="false">IF(G233&gt;=Inputs!$C$7,"GREEN",IF(G233&gt;=Inputs!$C$7-10,"AMBER","RED"))</f>
        <v>GREEN</v>
      </c>
      <c r="K233" s="26" t="n">
        <v>4.3</v>
      </c>
      <c r="L233" s="26" t="n">
        <v>6.7</v>
      </c>
    </row>
    <row r="234" customFormat="false" ht="15" hidden="false" customHeight="true" outlineLevel="0" collapsed="false">
      <c r="A234" s="20" t="s">
        <v>85</v>
      </c>
      <c r="B234" s="20" t="s">
        <v>59</v>
      </c>
      <c r="C234" s="20" t="n">
        <v>5.9</v>
      </c>
      <c r="D234" s="21" t="n">
        <f aca="false">C234*Inputs!$C$6/3600</f>
        <v>0.367111111111111</v>
      </c>
      <c r="E234" s="7" t="n">
        <v>2</v>
      </c>
      <c r="F234" s="22" t="n">
        <f aca="false">IF(E234&lt;=D234,"Understaffed",1-POISSON(E234-1,D234,1))</f>
        <v>0.0529574691688954</v>
      </c>
      <c r="G234" s="23" t="n">
        <f aca="false">IF(E234&lt;=D234,0,(1-F234*EXP(-(E234-D234)*Inputs!$C$8/Inputs!$C$6))*100)</f>
        <v>95.4226950818606</v>
      </c>
      <c r="H234" s="24" t="n">
        <f aca="false">ROUNDUP(E234/Inputs!$C$15,0)</f>
        <v>3</v>
      </c>
      <c r="I234" s="23" t="n">
        <f aca="false">IF(E234=0,0,D234/E234*100)</f>
        <v>18.3555555555556</v>
      </c>
      <c r="J234" s="25" t="str">
        <f aca="false">IF(G234&gt;=Inputs!$C$7,"GREEN",IF(G234&gt;=Inputs!$C$7-10,"AMBER","RED"))</f>
        <v>GREEN</v>
      </c>
      <c r="K234" s="20" t="n">
        <v>4.6</v>
      </c>
      <c r="L234" s="20" t="n">
        <v>7.2</v>
      </c>
    </row>
    <row r="235" customFormat="false" ht="15" hidden="false" customHeight="true" outlineLevel="0" collapsed="false">
      <c r="A235" s="26" t="s">
        <v>85</v>
      </c>
      <c r="B235" s="26" t="s">
        <v>60</v>
      </c>
      <c r="C235" s="26" t="n">
        <v>6.1</v>
      </c>
      <c r="D235" s="21" t="n">
        <f aca="false">C235*Inputs!$C$6/3600</f>
        <v>0.379555555555556</v>
      </c>
      <c r="E235" s="7" t="n">
        <v>2</v>
      </c>
      <c r="F235" s="22" t="n">
        <f aca="false">IF(E235&lt;=D235,"Understaffed",1-POISSON(E235-1,D235,1))</f>
        <v>0.0561558005855638</v>
      </c>
      <c r="G235" s="23" t="n">
        <f aca="false">IF(E235&lt;=D235,0,(1-F235*EXP(-(E235-D235)*Inputs!$C$8/Inputs!$C$6))*100)</f>
        <v>95.1408557199438</v>
      </c>
      <c r="H235" s="24" t="n">
        <f aca="false">ROUNDUP(E235/Inputs!$C$15,0)</f>
        <v>3</v>
      </c>
      <c r="I235" s="23" t="n">
        <f aca="false">IF(E235=0,0,D235/E235*100)</f>
        <v>18.9777777777778</v>
      </c>
      <c r="J235" s="25" t="str">
        <f aca="false">IF(G235&gt;=Inputs!$C$7,"GREEN",IF(G235&gt;=Inputs!$C$7-10,"AMBER","RED"))</f>
        <v>GREEN</v>
      </c>
      <c r="K235" s="26" t="n">
        <v>4.7</v>
      </c>
      <c r="L235" s="26" t="n">
        <v>7.4</v>
      </c>
    </row>
    <row r="236" customFormat="false" ht="15" hidden="false" customHeight="true" outlineLevel="0" collapsed="false">
      <c r="A236" s="20" t="s">
        <v>86</v>
      </c>
      <c r="B236" s="20" t="s">
        <v>52</v>
      </c>
      <c r="C236" s="20" t="n">
        <v>5</v>
      </c>
      <c r="D236" s="21" t="n">
        <f aca="false">C236*Inputs!$C$6/3600</f>
        <v>0.311111111111111</v>
      </c>
      <c r="E236" s="7" t="n">
        <v>2</v>
      </c>
      <c r="F236" s="22" t="n">
        <f aca="false">IF(E236&lt;=D236,"Understaffed",1-POISSON(E236-1,D236,1))</f>
        <v>0.0394374311863616</v>
      </c>
      <c r="G236" s="23" t="n">
        <f aca="false">IF(E236&lt;=D236,0,(1-F236*EXP(-(E236-D236)*Inputs!$C$8/Inputs!$C$6))*100)</f>
        <v>96.6082817491731</v>
      </c>
      <c r="H236" s="24" t="n">
        <f aca="false">ROUNDUP(E236/Inputs!$C$15,0)</f>
        <v>3</v>
      </c>
      <c r="I236" s="23" t="n">
        <f aca="false">IF(E236=0,0,D236/E236*100)</f>
        <v>15.5555555555556</v>
      </c>
      <c r="J236" s="25" t="str">
        <f aca="false">IF(G236&gt;=Inputs!$C$7,"GREEN",IF(G236&gt;=Inputs!$C$7-10,"AMBER","RED"))</f>
        <v>GREEN</v>
      </c>
      <c r="K236" s="20" t="n">
        <v>3.6</v>
      </c>
      <c r="L236" s="20" t="n">
        <v>6.3</v>
      </c>
    </row>
    <row r="237" customFormat="false" ht="15" hidden="false" customHeight="true" outlineLevel="0" collapsed="false">
      <c r="A237" s="26" t="s">
        <v>86</v>
      </c>
      <c r="B237" s="26" t="s">
        <v>53</v>
      </c>
      <c r="C237" s="26" t="n">
        <v>4.8</v>
      </c>
      <c r="D237" s="21" t="n">
        <f aca="false">C237*Inputs!$C$6/3600</f>
        <v>0.298666666666667</v>
      </c>
      <c r="E237" s="7" t="n">
        <v>2</v>
      </c>
      <c r="F237" s="22" t="n">
        <f aca="false">IF(E237&lt;=D237,"Understaffed",1-POISSON(E237-1,D237,1))</f>
        <v>0.0366404472768543</v>
      </c>
      <c r="G237" s="23" t="n">
        <f aca="false">IF(E237&lt;=D237,0,(1-F237*EXP(-(E237-D237)*Inputs!$C$8/Inputs!$C$6))*100)</f>
        <v>96.8523287548678</v>
      </c>
      <c r="H237" s="24" t="n">
        <f aca="false">ROUNDUP(E237/Inputs!$C$15,0)</f>
        <v>3</v>
      </c>
      <c r="I237" s="23" t="n">
        <f aca="false">IF(E237=0,0,D237/E237*100)</f>
        <v>14.9333333333333</v>
      </c>
      <c r="J237" s="25" t="str">
        <f aca="false">IF(G237&gt;=Inputs!$C$7,"GREEN",IF(G237&gt;=Inputs!$C$7-10,"AMBER","RED"))</f>
        <v>GREEN</v>
      </c>
      <c r="K237" s="26" t="n">
        <v>3.5</v>
      </c>
      <c r="L237" s="26" t="n">
        <v>6</v>
      </c>
    </row>
    <row r="238" customFormat="false" ht="15" hidden="false" customHeight="true" outlineLevel="0" collapsed="false">
      <c r="A238" s="20" t="s">
        <v>86</v>
      </c>
      <c r="B238" s="20" t="s">
        <v>54</v>
      </c>
      <c r="C238" s="20" t="n">
        <v>5.3</v>
      </c>
      <c r="D238" s="21" t="n">
        <f aca="false">C238*Inputs!$C$6/3600</f>
        <v>0.329777777777778</v>
      </c>
      <c r="E238" s="7" t="n">
        <v>2</v>
      </c>
      <c r="F238" s="22" t="n">
        <f aca="false">IF(E238&lt;=D238,"Understaffed",1-POISSON(E238-1,D238,1))</f>
        <v>0.0437787253572556</v>
      </c>
      <c r="G238" s="23" t="n">
        <f aca="false">IF(E238&lt;=D238,0,(1-F238*EXP(-(E238-D238)*Inputs!$C$8/Inputs!$C$6))*100)</f>
        <v>96.2286391676252</v>
      </c>
      <c r="H238" s="24" t="n">
        <f aca="false">ROUNDUP(E238/Inputs!$C$15,0)</f>
        <v>3</v>
      </c>
      <c r="I238" s="23" t="n">
        <f aca="false">IF(E238=0,0,D238/E238*100)</f>
        <v>16.4888888888889</v>
      </c>
      <c r="J238" s="25" t="str">
        <f aca="false">IF(G238&gt;=Inputs!$C$7,"GREEN",IF(G238&gt;=Inputs!$C$7-10,"AMBER","RED"))</f>
        <v>GREEN</v>
      </c>
      <c r="K238" s="20" t="n">
        <v>3.9</v>
      </c>
      <c r="L238" s="20" t="n">
        <v>6.7</v>
      </c>
    </row>
    <row r="239" customFormat="false" ht="15" hidden="false" customHeight="true" outlineLevel="0" collapsed="false">
      <c r="A239" s="26" t="s">
        <v>86</v>
      </c>
      <c r="B239" s="26" t="s">
        <v>55</v>
      </c>
      <c r="C239" s="26" t="n">
        <v>5</v>
      </c>
      <c r="D239" s="21" t="n">
        <f aca="false">C239*Inputs!$C$6/3600</f>
        <v>0.311111111111111</v>
      </c>
      <c r="E239" s="7" t="n">
        <v>2</v>
      </c>
      <c r="F239" s="22" t="n">
        <f aca="false">IF(E239&lt;=D239,"Understaffed",1-POISSON(E239-1,D239,1))</f>
        <v>0.0394374311863616</v>
      </c>
      <c r="G239" s="23" t="n">
        <f aca="false">IF(E239&lt;=D239,0,(1-F239*EXP(-(E239-D239)*Inputs!$C$8/Inputs!$C$6))*100)</f>
        <v>96.6082817491731</v>
      </c>
      <c r="H239" s="24" t="n">
        <f aca="false">ROUNDUP(E239/Inputs!$C$15,0)</f>
        <v>3</v>
      </c>
      <c r="I239" s="23" t="n">
        <f aca="false">IF(E239=0,0,D239/E239*100)</f>
        <v>15.5555555555556</v>
      </c>
      <c r="J239" s="25" t="str">
        <f aca="false">IF(G239&gt;=Inputs!$C$7,"GREEN",IF(G239&gt;=Inputs!$C$7-10,"AMBER","RED"))</f>
        <v>GREEN</v>
      </c>
      <c r="K239" s="26" t="n">
        <v>3.6</v>
      </c>
      <c r="L239" s="26" t="n">
        <v>6.3</v>
      </c>
    </row>
    <row r="240" customFormat="false" ht="15" hidden="false" customHeight="true" outlineLevel="0" collapsed="false">
      <c r="A240" s="20" t="s">
        <v>86</v>
      </c>
      <c r="B240" s="20" t="s">
        <v>56</v>
      </c>
      <c r="C240" s="20" t="n">
        <v>5.4</v>
      </c>
      <c r="D240" s="21" t="n">
        <f aca="false">C240*Inputs!$C$6/3600</f>
        <v>0.336</v>
      </c>
      <c r="E240" s="7" t="n">
        <v>2</v>
      </c>
      <c r="F240" s="22" t="n">
        <f aca="false">IF(E240&lt;=D240,"Understaffed",1-POISSON(E240-1,D240,1))</f>
        <v>0.0452635306297475</v>
      </c>
      <c r="G240" s="23" t="n">
        <f aca="false">IF(E240&lt;=D240,0,(1-F240*EXP(-(E240-D240)*Inputs!$C$8/Inputs!$C$6))*100)</f>
        <v>96.0985623113331</v>
      </c>
      <c r="H240" s="24" t="n">
        <f aca="false">ROUNDUP(E240/Inputs!$C$15,0)</f>
        <v>3</v>
      </c>
      <c r="I240" s="23" t="n">
        <f aca="false">IF(E240=0,0,D240/E240*100)</f>
        <v>16.8</v>
      </c>
      <c r="J240" s="25" t="str">
        <f aca="false">IF(G240&gt;=Inputs!$C$7,"GREEN",IF(G240&gt;=Inputs!$C$7-10,"AMBER","RED"))</f>
        <v>GREEN</v>
      </c>
      <c r="K240" s="20" t="n">
        <v>3.9</v>
      </c>
      <c r="L240" s="20" t="n">
        <v>6.8</v>
      </c>
    </row>
    <row r="241" customFormat="false" ht="15" hidden="false" customHeight="true" outlineLevel="0" collapsed="false">
      <c r="A241" s="26" t="s">
        <v>86</v>
      </c>
      <c r="B241" s="26" t="s">
        <v>57</v>
      </c>
      <c r="C241" s="26" t="n">
        <v>4.5</v>
      </c>
      <c r="D241" s="21" t="n">
        <f aca="false">C241*Inputs!$C$6/3600</f>
        <v>0.28</v>
      </c>
      <c r="E241" s="7" t="n">
        <v>2</v>
      </c>
      <c r="F241" s="22" t="n">
        <f aca="false">IF(E241&lt;=D241,"Understaffed",1-POISSON(E241-1,D241,1))</f>
        <v>0.0325968109366714</v>
      </c>
      <c r="G241" s="23" t="n">
        <f aca="false">IF(E241&lt;=D241,0,(1-F241*EXP(-(E241-D241)*Inputs!$C$8/Inputs!$C$6))*100)</f>
        <v>97.204368729997</v>
      </c>
      <c r="H241" s="24" t="n">
        <f aca="false">ROUNDUP(E241/Inputs!$C$15,0)</f>
        <v>3</v>
      </c>
      <c r="I241" s="23" t="n">
        <f aca="false">IF(E241=0,0,D241/E241*100)</f>
        <v>14</v>
      </c>
      <c r="J241" s="25" t="str">
        <f aca="false">IF(G241&gt;=Inputs!$C$7,"GREEN",IF(G241&gt;=Inputs!$C$7-10,"AMBER","RED"))</f>
        <v>GREEN</v>
      </c>
      <c r="K241" s="26" t="n">
        <v>3.3</v>
      </c>
      <c r="L241" s="26" t="n">
        <v>5.7</v>
      </c>
    </row>
    <row r="242" customFormat="false" ht="15" hidden="false" customHeight="true" outlineLevel="0" collapsed="false">
      <c r="A242" s="20" t="s">
        <v>86</v>
      </c>
      <c r="B242" s="20" t="s">
        <v>58</v>
      </c>
      <c r="C242" s="20" t="n">
        <v>4.8</v>
      </c>
      <c r="D242" s="21" t="n">
        <f aca="false">C242*Inputs!$C$6/3600</f>
        <v>0.298666666666667</v>
      </c>
      <c r="E242" s="7" t="n">
        <v>2</v>
      </c>
      <c r="F242" s="22" t="n">
        <f aca="false">IF(E242&lt;=D242,"Understaffed",1-POISSON(E242-1,D242,1))</f>
        <v>0.0366404472768543</v>
      </c>
      <c r="G242" s="23" t="n">
        <f aca="false">IF(E242&lt;=D242,0,(1-F242*EXP(-(E242-D242)*Inputs!$C$8/Inputs!$C$6))*100)</f>
        <v>96.8523287548678</v>
      </c>
      <c r="H242" s="24" t="n">
        <f aca="false">ROUNDUP(E242/Inputs!$C$15,0)</f>
        <v>3</v>
      </c>
      <c r="I242" s="23" t="n">
        <f aca="false">IF(E242=0,0,D242/E242*100)</f>
        <v>14.9333333333333</v>
      </c>
      <c r="J242" s="25" t="str">
        <f aca="false">IF(G242&gt;=Inputs!$C$7,"GREEN",IF(G242&gt;=Inputs!$C$7-10,"AMBER","RED"))</f>
        <v>GREEN</v>
      </c>
      <c r="K242" s="20" t="n">
        <v>3.5</v>
      </c>
      <c r="L242" s="20" t="n">
        <v>6.1</v>
      </c>
    </row>
    <row r="243" customFormat="false" ht="15" hidden="false" customHeight="true" outlineLevel="0" collapsed="false">
      <c r="A243" s="26" t="s">
        <v>86</v>
      </c>
      <c r="B243" s="26" t="s">
        <v>59</v>
      </c>
      <c r="C243" s="26" t="n">
        <v>5.1</v>
      </c>
      <c r="D243" s="21" t="n">
        <f aca="false">C243*Inputs!$C$6/3600</f>
        <v>0.317333333333333</v>
      </c>
      <c r="E243" s="7" t="n">
        <v>2</v>
      </c>
      <c r="F243" s="22" t="n">
        <f aca="false">IF(E243&lt;=D243,"Understaffed",1-POISSON(E243-1,D243,1))</f>
        <v>0.0408653834111161</v>
      </c>
      <c r="G243" s="23" t="n">
        <f aca="false">IF(E243&lt;=D243,0,(1-F243*EXP(-(E243-D243)*Inputs!$C$8/Inputs!$C$6))*100)</f>
        <v>96.4835212103744</v>
      </c>
      <c r="H243" s="24" t="n">
        <f aca="false">ROUNDUP(E243/Inputs!$C$15,0)</f>
        <v>3</v>
      </c>
      <c r="I243" s="23" t="n">
        <f aca="false">IF(E243=0,0,D243/E243*100)</f>
        <v>15.8666666666667</v>
      </c>
      <c r="J243" s="25" t="str">
        <f aca="false">IF(G243&gt;=Inputs!$C$7,"GREEN",IF(G243&gt;=Inputs!$C$7-10,"AMBER","RED"))</f>
        <v>GREEN</v>
      </c>
      <c r="K243" s="26" t="n">
        <v>3.8</v>
      </c>
      <c r="L243" s="26" t="n">
        <v>6.5</v>
      </c>
    </row>
    <row r="244" customFormat="false" ht="15" hidden="false" customHeight="true" outlineLevel="0" collapsed="false">
      <c r="A244" s="20" t="s">
        <v>86</v>
      </c>
      <c r="B244" s="20" t="s">
        <v>60</v>
      </c>
      <c r="C244" s="20" t="n">
        <v>5.3</v>
      </c>
      <c r="D244" s="21" t="n">
        <f aca="false">C244*Inputs!$C$6/3600</f>
        <v>0.329777777777778</v>
      </c>
      <c r="E244" s="7" t="n">
        <v>2</v>
      </c>
      <c r="F244" s="22" t="n">
        <f aca="false">IF(E244&lt;=D244,"Understaffed",1-POISSON(E244-1,D244,1))</f>
        <v>0.0437787253572556</v>
      </c>
      <c r="G244" s="23" t="n">
        <f aca="false">IF(E244&lt;=D244,0,(1-F244*EXP(-(E244-D244)*Inputs!$C$8/Inputs!$C$6))*100)</f>
        <v>96.2286391676252</v>
      </c>
      <c r="H244" s="24" t="n">
        <f aca="false">ROUNDUP(E244/Inputs!$C$15,0)</f>
        <v>3</v>
      </c>
      <c r="I244" s="23" t="n">
        <f aca="false">IF(E244=0,0,D244/E244*100)</f>
        <v>16.4888888888889</v>
      </c>
      <c r="J244" s="25" t="str">
        <f aca="false">IF(G244&gt;=Inputs!$C$7,"GREEN",IF(G244&gt;=Inputs!$C$7-10,"AMBER","RED"))</f>
        <v>GREEN</v>
      </c>
      <c r="K244" s="20" t="n">
        <v>3.9</v>
      </c>
      <c r="L244" s="20" t="n">
        <v>6.7</v>
      </c>
    </row>
    <row r="245" customFormat="false" ht="15" hidden="false" customHeight="true" outlineLevel="0" collapsed="false">
      <c r="A245" s="26" t="s">
        <v>87</v>
      </c>
      <c r="B245" s="26" t="s">
        <v>52</v>
      </c>
      <c r="C245" s="26" t="n">
        <v>5</v>
      </c>
      <c r="D245" s="21" t="n">
        <f aca="false">C245*Inputs!$C$6/3600</f>
        <v>0.311111111111111</v>
      </c>
      <c r="E245" s="7" t="n">
        <v>2</v>
      </c>
      <c r="F245" s="22" t="n">
        <f aca="false">IF(E245&lt;=D245,"Understaffed",1-POISSON(E245-1,D245,1))</f>
        <v>0.0394374311863616</v>
      </c>
      <c r="G245" s="23" t="n">
        <f aca="false">IF(E245&lt;=D245,0,(1-F245*EXP(-(E245-D245)*Inputs!$C$8/Inputs!$C$6))*100)</f>
        <v>96.6082817491731</v>
      </c>
      <c r="H245" s="24" t="n">
        <f aca="false">ROUNDUP(E245/Inputs!$C$15,0)</f>
        <v>3</v>
      </c>
      <c r="I245" s="23" t="n">
        <f aca="false">IF(E245=0,0,D245/E245*100)</f>
        <v>15.5555555555556</v>
      </c>
      <c r="J245" s="25" t="str">
        <f aca="false">IF(G245&gt;=Inputs!$C$7,"GREEN",IF(G245&gt;=Inputs!$C$7-10,"AMBER","RED"))</f>
        <v>GREEN</v>
      </c>
      <c r="K245" s="26" t="n">
        <v>3.7</v>
      </c>
      <c r="L245" s="26" t="n">
        <v>6.3</v>
      </c>
    </row>
    <row r="246" customFormat="false" ht="15" hidden="false" customHeight="true" outlineLevel="0" collapsed="false">
      <c r="A246" s="20" t="s">
        <v>87</v>
      </c>
      <c r="B246" s="20" t="s">
        <v>53</v>
      </c>
      <c r="C246" s="20" t="n">
        <v>4.8</v>
      </c>
      <c r="D246" s="21" t="n">
        <f aca="false">C246*Inputs!$C$6/3600</f>
        <v>0.298666666666667</v>
      </c>
      <c r="E246" s="7" t="n">
        <v>2</v>
      </c>
      <c r="F246" s="22" t="n">
        <f aca="false">IF(E246&lt;=D246,"Understaffed",1-POISSON(E246-1,D246,1))</f>
        <v>0.0366404472768543</v>
      </c>
      <c r="G246" s="23" t="n">
        <f aca="false">IF(E246&lt;=D246,0,(1-F246*EXP(-(E246-D246)*Inputs!$C$8/Inputs!$C$6))*100)</f>
        <v>96.8523287548678</v>
      </c>
      <c r="H246" s="24" t="n">
        <f aca="false">ROUNDUP(E246/Inputs!$C$15,0)</f>
        <v>3</v>
      </c>
      <c r="I246" s="23" t="n">
        <f aca="false">IF(E246=0,0,D246/E246*100)</f>
        <v>14.9333333333333</v>
      </c>
      <c r="J246" s="25" t="str">
        <f aca="false">IF(G246&gt;=Inputs!$C$7,"GREEN",IF(G246&gt;=Inputs!$C$7-10,"AMBER","RED"))</f>
        <v>GREEN</v>
      </c>
      <c r="K246" s="20" t="n">
        <v>3.6</v>
      </c>
      <c r="L246" s="20" t="n">
        <v>6</v>
      </c>
    </row>
    <row r="247" customFormat="false" ht="15" hidden="false" customHeight="true" outlineLevel="0" collapsed="false">
      <c r="A247" s="26" t="s">
        <v>87</v>
      </c>
      <c r="B247" s="26" t="s">
        <v>54</v>
      </c>
      <c r="C247" s="26" t="n">
        <v>5.3</v>
      </c>
      <c r="D247" s="21" t="n">
        <f aca="false">C247*Inputs!$C$6/3600</f>
        <v>0.329777777777778</v>
      </c>
      <c r="E247" s="7" t="n">
        <v>2</v>
      </c>
      <c r="F247" s="22" t="n">
        <f aca="false">IF(E247&lt;=D247,"Understaffed",1-POISSON(E247-1,D247,1))</f>
        <v>0.0437787253572556</v>
      </c>
      <c r="G247" s="23" t="n">
        <f aca="false">IF(E247&lt;=D247,0,(1-F247*EXP(-(E247-D247)*Inputs!$C$8/Inputs!$C$6))*100)</f>
        <v>96.2286391676252</v>
      </c>
      <c r="H247" s="24" t="n">
        <f aca="false">ROUNDUP(E247/Inputs!$C$15,0)</f>
        <v>3</v>
      </c>
      <c r="I247" s="23" t="n">
        <f aca="false">IF(E247=0,0,D247/E247*100)</f>
        <v>16.4888888888889</v>
      </c>
      <c r="J247" s="25" t="str">
        <f aca="false">IF(G247&gt;=Inputs!$C$7,"GREEN",IF(G247&gt;=Inputs!$C$7-10,"AMBER","RED"))</f>
        <v>GREEN</v>
      </c>
      <c r="K247" s="26" t="n">
        <v>4</v>
      </c>
      <c r="L247" s="26" t="n">
        <v>6.7</v>
      </c>
    </row>
    <row r="248" customFormat="false" ht="15" hidden="false" customHeight="true" outlineLevel="0" collapsed="false">
      <c r="A248" s="20" t="s">
        <v>87</v>
      </c>
      <c r="B248" s="20" t="s">
        <v>55</v>
      </c>
      <c r="C248" s="20" t="n">
        <v>5</v>
      </c>
      <c r="D248" s="21" t="n">
        <f aca="false">C248*Inputs!$C$6/3600</f>
        <v>0.311111111111111</v>
      </c>
      <c r="E248" s="7" t="n">
        <v>2</v>
      </c>
      <c r="F248" s="22" t="n">
        <f aca="false">IF(E248&lt;=D248,"Understaffed",1-POISSON(E248-1,D248,1))</f>
        <v>0.0394374311863616</v>
      </c>
      <c r="G248" s="23" t="n">
        <f aca="false">IF(E248&lt;=D248,0,(1-F248*EXP(-(E248-D248)*Inputs!$C$8/Inputs!$C$6))*100)</f>
        <v>96.6082817491731</v>
      </c>
      <c r="H248" s="24" t="n">
        <f aca="false">ROUNDUP(E248/Inputs!$C$15,0)</f>
        <v>3</v>
      </c>
      <c r="I248" s="23" t="n">
        <f aca="false">IF(E248=0,0,D248/E248*100)</f>
        <v>15.5555555555556</v>
      </c>
      <c r="J248" s="25" t="str">
        <f aca="false">IF(G248&gt;=Inputs!$C$7,"GREEN",IF(G248&gt;=Inputs!$C$7-10,"AMBER","RED"))</f>
        <v>GREEN</v>
      </c>
      <c r="K248" s="20" t="n">
        <v>3.7</v>
      </c>
      <c r="L248" s="20" t="n">
        <v>6.3</v>
      </c>
    </row>
    <row r="249" customFormat="false" ht="15" hidden="false" customHeight="true" outlineLevel="0" collapsed="false">
      <c r="A249" s="26" t="s">
        <v>87</v>
      </c>
      <c r="B249" s="26" t="s">
        <v>56</v>
      </c>
      <c r="C249" s="26" t="n">
        <v>5.4</v>
      </c>
      <c r="D249" s="21" t="n">
        <f aca="false">C249*Inputs!$C$6/3600</f>
        <v>0.336</v>
      </c>
      <c r="E249" s="7" t="n">
        <v>2</v>
      </c>
      <c r="F249" s="22" t="n">
        <f aca="false">IF(E249&lt;=D249,"Understaffed",1-POISSON(E249-1,D249,1))</f>
        <v>0.0452635306297475</v>
      </c>
      <c r="G249" s="23" t="n">
        <f aca="false">IF(E249&lt;=D249,0,(1-F249*EXP(-(E249-D249)*Inputs!$C$8/Inputs!$C$6))*100)</f>
        <v>96.0985623113331</v>
      </c>
      <c r="H249" s="24" t="n">
        <f aca="false">ROUNDUP(E249/Inputs!$C$15,0)</f>
        <v>3</v>
      </c>
      <c r="I249" s="23" t="n">
        <f aca="false">IF(E249=0,0,D249/E249*100)</f>
        <v>16.8</v>
      </c>
      <c r="J249" s="25" t="str">
        <f aca="false">IF(G249&gt;=Inputs!$C$7,"GREEN",IF(G249&gt;=Inputs!$C$7-10,"AMBER","RED"))</f>
        <v>GREEN</v>
      </c>
      <c r="K249" s="26" t="n">
        <v>4</v>
      </c>
      <c r="L249" s="26" t="n">
        <v>6.8</v>
      </c>
    </row>
    <row r="250" customFormat="false" ht="15" hidden="false" customHeight="true" outlineLevel="0" collapsed="false">
      <c r="A250" s="20" t="s">
        <v>87</v>
      </c>
      <c r="B250" s="20" t="s">
        <v>57</v>
      </c>
      <c r="C250" s="20" t="n">
        <v>4.5</v>
      </c>
      <c r="D250" s="21" t="n">
        <f aca="false">C250*Inputs!$C$6/3600</f>
        <v>0.28</v>
      </c>
      <c r="E250" s="7" t="n">
        <v>2</v>
      </c>
      <c r="F250" s="22" t="n">
        <f aca="false">IF(E250&lt;=D250,"Understaffed",1-POISSON(E250-1,D250,1))</f>
        <v>0.0325968109366714</v>
      </c>
      <c r="G250" s="23" t="n">
        <f aca="false">IF(E250&lt;=D250,0,(1-F250*EXP(-(E250-D250)*Inputs!$C$8/Inputs!$C$6))*100)</f>
        <v>97.204368729997</v>
      </c>
      <c r="H250" s="24" t="n">
        <f aca="false">ROUNDUP(E250/Inputs!$C$15,0)</f>
        <v>3</v>
      </c>
      <c r="I250" s="23" t="n">
        <f aca="false">IF(E250=0,0,D250/E250*100)</f>
        <v>14</v>
      </c>
      <c r="J250" s="25" t="str">
        <f aca="false">IF(G250&gt;=Inputs!$C$7,"GREEN",IF(G250&gt;=Inputs!$C$7-10,"AMBER","RED"))</f>
        <v>GREEN</v>
      </c>
      <c r="K250" s="20" t="n">
        <v>3.4</v>
      </c>
      <c r="L250" s="20" t="n">
        <v>5.7</v>
      </c>
    </row>
    <row r="251" customFormat="false" ht="15" hidden="false" customHeight="true" outlineLevel="0" collapsed="false">
      <c r="A251" s="26" t="s">
        <v>87</v>
      </c>
      <c r="B251" s="26" t="s">
        <v>58</v>
      </c>
      <c r="C251" s="26" t="n">
        <v>4.8</v>
      </c>
      <c r="D251" s="21" t="n">
        <f aca="false">C251*Inputs!$C$6/3600</f>
        <v>0.298666666666667</v>
      </c>
      <c r="E251" s="7" t="n">
        <v>2</v>
      </c>
      <c r="F251" s="22" t="n">
        <f aca="false">IF(E251&lt;=D251,"Understaffed",1-POISSON(E251-1,D251,1))</f>
        <v>0.0366404472768543</v>
      </c>
      <c r="G251" s="23" t="n">
        <f aca="false">IF(E251&lt;=D251,0,(1-F251*EXP(-(E251-D251)*Inputs!$C$8/Inputs!$C$6))*100)</f>
        <v>96.8523287548678</v>
      </c>
      <c r="H251" s="24" t="n">
        <f aca="false">ROUNDUP(E251/Inputs!$C$15,0)</f>
        <v>3</v>
      </c>
      <c r="I251" s="23" t="n">
        <f aca="false">IF(E251=0,0,D251/E251*100)</f>
        <v>14.9333333333333</v>
      </c>
      <c r="J251" s="25" t="str">
        <f aca="false">IF(G251&gt;=Inputs!$C$7,"GREEN",IF(G251&gt;=Inputs!$C$7-10,"AMBER","RED"))</f>
        <v>GREEN</v>
      </c>
      <c r="K251" s="26" t="n">
        <v>3.6</v>
      </c>
      <c r="L251" s="26" t="n">
        <v>6.1</v>
      </c>
    </row>
    <row r="252" customFormat="false" ht="15" hidden="false" customHeight="true" outlineLevel="0" collapsed="false">
      <c r="A252" s="20" t="s">
        <v>87</v>
      </c>
      <c r="B252" s="20" t="s">
        <v>59</v>
      </c>
      <c r="C252" s="20" t="n">
        <v>5.1</v>
      </c>
      <c r="D252" s="21" t="n">
        <f aca="false">C252*Inputs!$C$6/3600</f>
        <v>0.317333333333333</v>
      </c>
      <c r="E252" s="7" t="n">
        <v>2</v>
      </c>
      <c r="F252" s="22" t="n">
        <f aca="false">IF(E252&lt;=D252,"Understaffed",1-POISSON(E252-1,D252,1))</f>
        <v>0.0408653834111161</v>
      </c>
      <c r="G252" s="23" t="n">
        <f aca="false">IF(E252&lt;=D252,0,(1-F252*EXP(-(E252-D252)*Inputs!$C$8/Inputs!$C$6))*100)</f>
        <v>96.4835212103744</v>
      </c>
      <c r="H252" s="24" t="n">
        <f aca="false">ROUNDUP(E252/Inputs!$C$15,0)</f>
        <v>3</v>
      </c>
      <c r="I252" s="23" t="n">
        <f aca="false">IF(E252=0,0,D252/E252*100)</f>
        <v>15.8666666666667</v>
      </c>
      <c r="J252" s="25" t="str">
        <f aca="false">IF(G252&gt;=Inputs!$C$7,"GREEN",IF(G252&gt;=Inputs!$C$7-10,"AMBER","RED"))</f>
        <v>GREEN</v>
      </c>
      <c r="K252" s="20" t="n">
        <v>3.9</v>
      </c>
      <c r="L252" s="20" t="n">
        <v>6.5</v>
      </c>
    </row>
    <row r="253" customFormat="false" ht="15" hidden="false" customHeight="true" outlineLevel="0" collapsed="false">
      <c r="A253" s="26" t="s">
        <v>87</v>
      </c>
      <c r="B253" s="26" t="s">
        <v>60</v>
      </c>
      <c r="C253" s="26" t="n">
        <v>5.3</v>
      </c>
      <c r="D253" s="21" t="n">
        <f aca="false">C253*Inputs!$C$6/3600</f>
        <v>0.329777777777778</v>
      </c>
      <c r="E253" s="7" t="n">
        <v>2</v>
      </c>
      <c r="F253" s="22" t="n">
        <f aca="false">IF(E253&lt;=D253,"Understaffed",1-POISSON(E253-1,D253,1))</f>
        <v>0.0437787253572556</v>
      </c>
      <c r="G253" s="23" t="n">
        <f aca="false">IF(E253&lt;=D253,0,(1-F253*EXP(-(E253-D253)*Inputs!$C$8/Inputs!$C$6))*100)</f>
        <v>96.2286391676252</v>
      </c>
      <c r="H253" s="24" t="n">
        <f aca="false">ROUNDUP(E253/Inputs!$C$15,0)</f>
        <v>3</v>
      </c>
      <c r="I253" s="23" t="n">
        <f aca="false">IF(E253=0,0,D253/E253*100)</f>
        <v>16.4888888888889</v>
      </c>
      <c r="J253" s="25" t="str">
        <f aca="false">IF(G253&gt;=Inputs!$C$7,"GREEN",IF(G253&gt;=Inputs!$C$7-10,"AMBER","RED"))</f>
        <v>GREEN</v>
      </c>
      <c r="K253" s="26" t="n">
        <v>4</v>
      </c>
      <c r="L253" s="26" t="n">
        <v>6.7</v>
      </c>
    </row>
    <row r="254" customFormat="false" ht="15" hidden="false" customHeight="true" outlineLevel="0" collapsed="false">
      <c r="A254" s="20" t="s">
        <v>88</v>
      </c>
      <c r="B254" s="20" t="s">
        <v>52</v>
      </c>
      <c r="C254" s="20" t="n">
        <v>5.7</v>
      </c>
      <c r="D254" s="21" t="n">
        <f aca="false">C254*Inputs!$C$6/3600</f>
        <v>0.354666666666667</v>
      </c>
      <c r="E254" s="7" t="n">
        <v>2</v>
      </c>
      <c r="F254" s="22" t="n">
        <f aca="false">IF(E254&lt;=D254,"Understaffed",1-POISSON(E254-1,D254,1))</f>
        <v>0.0498270373941074</v>
      </c>
      <c r="G254" s="23" t="n">
        <f aca="false">IF(E254&lt;=D254,0,(1-F254*EXP(-(E254-D254)*Inputs!$C$8/Inputs!$C$6))*100)</f>
        <v>95.6980521807102</v>
      </c>
      <c r="H254" s="24" t="n">
        <f aca="false">ROUNDUP(E254/Inputs!$C$15,0)</f>
        <v>3</v>
      </c>
      <c r="I254" s="23" t="n">
        <f aca="false">IF(E254=0,0,D254/E254*100)</f>
        <v>17.7333333333333</v>
      </c>
      <c r="J254" s="25" t="str">
        <f aca="false">IF(G254&gt;=Inputs!$C$7,"GREEN",IF(G254&gt;=Inputs!$C$7-10,"AMBER","RED"))</f>
        <v>GREEN</v>
      </c>
      <c r="K254" s="20" t="n">
        <v>4.5</v>
      </c>
      <c r="L254" s="20" t="n">
        <v>6.9</v>
      </c>
    </row>
    <row r="255" customFormat="false" ht="15" hidden="false" customHeight="true" outlineLevel="0" collapsed="false">
      <c r="A255" s="26" t="s">
        <v>88</v>
      </c>
      <c r="B255" s="26" t="s">
        <v>53</v>
      </c>
      <c r="C255" s="26" t="n">
        <v>5.5</v>
      </c>
      <c r="D255" s="21" t="n">
        <f aca="false">C255*Inputs!$C$6/3600</f>
        <v>0.342222222222222</v>
      </c>
      <c r="E255" s="7" t="n">
        <v>2</v>
      </c>
      <c r="F255" s="22" t="n">
        <f aca="false">IF(E255&lt;=D255,"Understaffed",1-POISSON(E255-1,D255,1))</f>
        <v>0.0467667072826541</v>
      </c>
      <c r="G255" s="23" t="n">
        <f aca="false">IF(E255&lt;=D255,0,(1-F255*EXP(-(E255-D255)*Inputs!$C$8/Inputs!$C$6))*100)</f>
        <v>95.9667576698329</v>
      </c>
      <c r="H255" s="24" t="n">
        <f aca="false">ROUNDUP(E255/Inputs!$C$15,0)</f>
        <v>3</v>
      </c>
      <c r="I255" s="23" t="n">
        <f aca="false">IF(E255=0,0,D255/E255*100)</f>
        <v>17.1111111111111</v>
      </c>
      <c r="J255" s="25" t="str">
        <f aca="false">IF(G255&gt;=Inputs!$C$7,"GREEN",IF(G255&gt;=Inputs!$C$7-10,"AMBER","RED"))</f>
        <v>GREEN</v>
      </c>
      <c r="K255" s="26" t="n">
        <v>4.3</v>
      </c>
      <c r="L255" s="26" t="n">
        <v>6.7</v>
      </c>
    </row>
    <row r="256" customFormat="false" ht="15" hidden="false" customHeight="true" outlineLevel="0" collapsed="false">
      <c r="A256" s="20" t="s">
        <v>88</v>
      </c>
      <c r="B256" s="20" t="s">
        <v>54</v>
      </c>
      <c r="C256" s="20" t="n">
        <v>6.1</v>
      </c>
      <c r="D256" s="21" t="n">
        <f aca="false">C256*Inputs!$C$6/3600</f>
        <v>0.379555555555556</v>
      </c>
      <c r="E256" s="7" t="n">
        <v>2</v>
      </c>
      <c r="F256" s="22" t="n">
        <f aca="false">IF(E256&lt;=D256,"Understaffed",1-POISSON(E256-1,D256,1))</f>
        <v>0.0561558005855638</v>
      </c>
      <c r="G256" s="23" t="n">
        <f aca="false">IF(E256&lt;=D256,0,(1-F256*EXP(-(E256-D256)*Inputs!$C$8/Inputs!$C$6))*100)</f>
        <v>95.1408557199438</v>
      </c>
      <c r="H256" s="24" t="n">
        <f aca="false">ROUNDUP(E256/Inputs!$C$15,0)</f>
        <v>3</v>
      </c>
      <c r="I256" s="23" t="n">
        <f aca="false">IF(E256=0,0,D256/E256*100)</f>
        <v>18.9777777777778</v>
      </c>
      <c r="J256" s="25" t="str">
        <f aca="false">IF(G256&gt;=Inputs!$C$7,"GREEN",IF(G256&gt;=Inputs!$C$7-10,"AMBER","RED"))</f>
        <v>GREEN</v>
      </c>
      <c r="K256" s="20" t="n">
        <v>4.8</v>
      </c>
      <c r="L256" s="20" t="n">
        <v>7.4</v>
      </c>
    </row>
    <row r="257" customFormat="false" ht="15" hidden="false" customHeight="true" outlineLevel="0" collapsed="false">
      <c r="A257" s="26" t="s">
        <v>88</v>
      </c>
      <c r="B257" s="26" t="s">
        <v>55</v>
      </c>
      <c r="C257" s="26" t="n">
        <v>5.7</v>
      </c>
      <c r="D257" s="21" t="n">
        <f aca="false">C257*Inputs!$C$6/3600</f>
        <v>0.354666666666667</v>
      </c>
      <c r="E257" s="7" t="n">
        <v>2</v>
      </c>
      <c r="F257" s="22" t="n">
        <f aca="false">IF(E257&lt;=D257,"Understaffed",1-POISSON(E257-1,D257,1))</f>
        <v>0.0498270373941074</v>
      </c>
      <c r="G257" s="23" t="n">
        <f aca="false">IF(E257&lt;=D257,0,(1-F257*EXP(-(E257-D257)*Inputs!$C$8/Inputs!$C$6))*100)</f>
        <v>95.6980521807102</v>
      </c>
      <c r="H257" s="24" t="n">
        <f aca="false">ROUNDUP(E257/Inputs!$C$15,0)</f>
        <v>3</v>
      </c>
      <c r="I257" s="23" t="n">
        <f aca="false">IF(E257=0,0,D257/E257*100)</f>
        <v>17.7333333333333</v>
      </c>
      <c r="J257" s="25" t="str">
        <f aca="false">IF(G257&gt;=Inputs!$C$7,"GREEN",IF(G257&gt;=Inputs!$C$7-10,"AMBER","RED"))</f>
        <v>GREEN</v>
      </c>
      <c r="K257" s="26" t="n">
        <v>4.5</v>
      </c>
      <c r="L257" s="26" t="n">
        <v>6.9</v>
      </c>
    </row>
    <row r="258" customFormat="false" ht="15" hidden="false" customHeight="true" outlineLevel="0" collapsed="false">
      <c r="A258" s="20" t="s">
        <v>88</v>
      </c>
      <c r="B258" s="20" t="s">
        <v>56</v>
      </c>
      <c r="C258" s="20" t="n">
        <v>6.2</v>
      </c>
      <c r="D258" s="21" t="n">
        <f aca="false">C258*Inputs!$C$6/3600</f>
        <v>0.385777777777778</v>
      </c>
      <c r="E258" s="7" t="n">
        <v>2</v>
      </c>
      <c r="F258" s="22" t="n">
        <f aca="false">IF(E258&lt;=D258,"Understaffed",1-POISSON(E258-1,D258,1))</f>
        <v>0.0577797525096471</v>
      </c>
      <c r="G258" s="23" t="n">
        <f aca="false">IF(E258&lt;=D258,0,(1-F258*EXP(-(E258-D258)*Inputs!$C$8/Inputs!$C$6))*100)</f>
        <v>94.9975572927541</v>
      </c>
      <c r="H258" s="24" t="n">
        <f aca="false">ROUNDUP(E258/Inputs!$C$15,0)</f>
        <v>3</v>
      </c>
      <c r="I258" s="23" t="n">
        <f aca="false">IF(E258=0,0,D258/E258*100)</f>
        <v>19.2888888888889</v>
      </c>
      <c r="J258" s="25" t="str">
        <f aca="false">IF(G258&gt;=Inputs!$C$7,"GREEN",IF(G258&gt;=Inputs!$C$7-10,"AMBER","RED"))</f>
        <v>GREEN</v>
      </c>
      <c r="K258" s="20" t="n">
        <v>4.9</v>
      </c>
      <c r="L258" s="20" t="n">
        <v>7.5</v>
      </c>
    </row>
    <row r="259" customFormat="false" ht="15" hidden="false" customHeight="true" outlineLevel="0" collapsed="false">
      <c r="A259" s="26" t="s">
        <v>88</v>
      </c>
      <c r="B259" s="26" t="s">
        <v>57</v>
      </c>
      <c r="C259" s="26" t="n">
        <v>5.2</v>
      </c>
      <c r="D259" s="21" t="n">
        <f aca="false">C259*Inputs!$C$6/3600</f>
        <v>0.323555555555556</v>
      </c>
      <c r="E259" s="7" t="n">
        <v>2</v>
      </c>
      <c r="F259" s="22" t="n">
        <f aca="false">IF(E259&lt;=D259,"Understaffed",1-POISSON(E259-1,D259,1))</f>
        <v>0.0423125793600404</v>
      </c>
      <c r="G259" s="23" t="n">
        <f aca="false">IF(E259&lt;=D259,0,(1-F259*EXP(-(E259-D259)*Inputs!$C$8/Inputs!$C$6))*100)</f>
        <v>96.3569662090607</v>
      </c>
      <c r="H259" s="24" t="n">
        <f aca="false">ROUNDUP(E259/Inputs!$C$15,0)</f>
        <v>3</v>
      </c>
      <c r="I259" s="23" t="n">
        <f aca="false">IF(E259=0,0,D259/E259*100)</f>
        <v>16.1777777777778</v>
      </c>
      <c r="J259" s="25" t="str">
        <f aca="false">IF(G259&gt;=Inputs!$C$7,"GREEN",IF(G259&gt;=Inputs!$C$7-10,"AMBER","RED"))</f>
        <v>GREEN</v>
      </c>
      <c r="K259" s="26" t="n">
        <v>4.1</v>
      </c>
      <c r="L259" s="26" t="n">
        <v>6.3</v>
      </c>
    </row>
    <row r="260" customFormat="false" ht="15" hidden="false" customHeight="true" outlineLevel="0" collapsed="false">
      <c r="A260" s="20" t="s">
        <v>88</v>
      </c>
      <c r="B260" s="20" t="s">
        <v>58</v>
      </c>
      <c r="C260" s="20" t="n">
        <v>5.6</v>
      </c>
      <c r="D260" s="21" t="n">
        <f aca="false">C260*Inputs!$C$6/3600</f>
        <v>0.348444444444444</v>
      </c>
      <c r="E260" s="7" t="n">
        <v>2</v>
      </c>
      <c r="F260" s="22" t="n">
        <f aca="false">IF(E260&lt;=D260,"Understaffed",1-POISSON(E260-1,D260,1))</f>
        <v>0.048287970274747</v>
      </c>
      <c r="G260" s="23" t="n">
        <f aca="false">IF(E260&lt;=D260,0,(1-F260*EXP(-(E260-D260)*Inputs!$C$8/Inputs!$C$6))*100)</f>
        <v>95.8332470786567</v>
      </c>
      <c r="H260" s="24" t="n">
        <f aca="false">ROUNDUP(E260/Inputs!$C$15,0)</f>
        <v>3</v>
      </c>
      <c r="I260" s="23" t="n">
        <f aca="false">IF(E260=0,0,D260/E260*100)</f>
        <v>17.4222222222222</v>
      </c>
      <c r="J260" s="25" t="str">
        <f aca="false">IF(G260&gt;=Inputs!$C$7,"GREEN",IF(G260&gt;=Inputs!$C$7-10,"AMBER","RED"))</f>
        <v>GREEN</v>
      </c>
      <c r="K260" s="20" t="n">
        <v>4.4</v>
      </c>
      <c r="L260" s="20" t="n">
        <v>6.7</v>
      </c>
    </row>
    <row r="261" customFormat="false" ht="15" hidden="false" customHeight="true" outlineLevel="0" collapsed="false">
      <c r="A261" s="26" t="s">
        <v>88</v>
      </c>
      <c r="B261" s="26" t="s">
        <v>59</v>
      </c>
      <c r="C261" s="26" t="n">
        <v>5.9</v>
      </c>
      <c r="D261" s="21" t="n">
        <f aca="false">C261*Inputs!$C$6/3600</f>
        <v>0.367111111111111</v>
      </c>
      <c r="E261" s="7" t="n">
        <v>2</v>
      </c>
      <c r="F261" s="22" t="n">
        <f aca="false">IF(E261&lt;=D261,"Understaffed",1-POISSON(E261-1,D261,1))</f>
        <v>0.0529574691688954</v>
      </c>
      <c r="G261" s="23" t="n">
        <f aca="false">IF(E261&lt;=D261,0,(1-F261*EXP(-(E261-D261)*Inputs!$C$8/Inputs!$C$6))*100)</f>
        <v>95.4226950818606</v>
      </c>
      <c r="H261" s="24" t="n">
        <f aca="false">ROUNDUP(E261/Inputs!$C$15,0)</f>
        <v>3</v>
      </c>
      <c r="I261" s="23" t="n">
        <f aca="false">IF(E261=0,0,D261/E261*100)</f>
        <v>18.3555555555556</v>
      </c>
      <c r="J261" s="25" t="str">
        <f aca="false">IF(G261&gt;=Inputs!$C$7,"GREEN",IF(G261&gt;=Inputs!$C$7-10,"AMBER","RED"))</f>
        <v>GREEN</v>
      </c>
      <c r="K261" s="26" t="n">
        <v>4.7</v>
      </c>
      <c r="L261" s="26" t="n">
        <v>7.2</v>
      </c>
    </row>
    <row r="262" customFormat="false" ht="15" hidden="false" customHeight="true" outlineLevel="0" collapsed="false">
      <c r="A262" s="20" t="s">
        <v>88</v>
      </c>
      <c r="B262" s="20" t="s">
        <v>60</v>
      </c>
      <c r="C262" s="20" t="n">
        <v>6.1</v>
      </c>
      <c r="D262" s="21" t="n">
        <f aca="false">C262*Inputs!$C$6/3600</f>
        <v>0.379555555555556</v>
      </c>
      <c r="E262" s="7" t="n">
        <v>2</v>
      </c>
      <c r="F262" s="22" t="n">
        <f aca="false">IF(E262&lt;=D262,"Understaffed",1-POISSON(E262-1,D262,1))</f>
        <v>0.0561558005855638</v>
      </c>
      <c r="G262" s="23" t="n">
        <f aca="false">IF(E262&lt;=D262,0,(1-F262*EXP(-(E262-D262)*Inputs!$C$8/Inputs!$C$6))*100)</f>
        <v>95.1408557199438</v>
      </c>
      <c r="H262" s="24" t="n">
        <f aca="false">ROUNDUP(E262/Inputs!$C$15,0)</f>
        <v>3</v>
      </c>
      <c r="I262" s="23" t="n">
        <f aca="false">IF(E262=0,0,D262/E262*100)</f>
        <v>18.9777777777778</v>
      </c>
      <c r="J262" s="25" t="str">
        <f aca="false">IF(G262&gt;=Inputs!$C$7,"GREEN",IF(G262&gt;=Inputs!$C$7-10,"AMBER","RED"))</f>
        <v>GREEN</v>
      </c>
      <c r="K262" s="20" t="n">
        <v>4.8</v>
      </c>
      <c r="L262" s="20" t="n">
        <v>7.4</v>
      </c>
    </row>
    <row r="263" customFormat="false" ht="15" hidden="false" customHeight="true" outlineLevel="0" collapsed="false">
      <c r="A263" s="26" t="s">
        <v>89</v>
      </c>
      <c r="B263" s="26" t="s">
        <v>52</v>
      </c>
      <c r="C263" s="26" t="n">
        <v>4.8</v>
      </c>
      <c r="D263" s="21" t="n">
        <f aca="false">C263*Inputs!$C$6/3600</f>
        <v>0.298666666666667</v>
      </c>
      <c r="E263" s="7" t="n">
        <v>2</v>
      </c>
      <c r="F263" s="22" t="n">
        <f aca="false">IF(E263&lt;=D263,"Understaffed",1-POISSON(E263-1,D263,1))</f>
        <v>0.0366404472768543</v>
      </c>
      <c r="G263" s="23" t="n">
        <f aca="false">IF(E263&lt;=D263,0,(1-F263*EXP(-(E263-D263)*Inputs!$C$8/Inputs!$C$6))*100)</f>
        <v>96.8523287548678</v>
      </c>
      <c r="H263" s="24" t="n">
        <f aca="false">ROUNDUP(E263/Inputs!$C$15,0)</f>
        <v>3</v>
      </c>
      <c r="I263" s="23" t="n">
        <f aca="false">IF(E263=0,0,D263/E263*100)</f>
        <v>14.9333333333333</v>
      </c>
      <c r="J263" s="25" t="str">
        <f aca="false">IF(G263&gt;=Inputs!$C$7,"GREEN",IF(G263&gt;=Inputs!$C$7-10,"AMBER","RED"))</f>
        <v>GREEN</v>
      </c>
      <c r="K263" s="26" t="n">
        <v>3.6</v>
      </c>
      <c r="L263" s="26" t="n">
        <v>6.2</v>
      </c>
    </row>
    <row r="264" customFormat="false" ht="15" hidden="false" customHeight="true" outlineLevel="0" collapsed="false">
      <c r="A264" s="20" t="s">
        <v>89</v>
      </c>
      <c r="B264" s="20" t="s">
        <v>53</v>
      </c>
      <c r="C264" s="20" t="n">
        <v>4.7</v>
      </c>
      <c r="D264" s="21" t="n">
        <f aca="false">C264*Inputs!$C$6/3600</f>
        <v>0.292444444444444</v>
      </c>
      <c r="E264" s="7" t="n">
        <v>2</v>
      </c>
      <c r="F264" s="22" t="n">
        <f aca="false">IF(E264&lt;=D264,"Understaffed",1-POISSON(E264-1,D264,1))</f>
        <v>0.0352720176833574</v>
      </c>
      <c r="G264" s="23" t="n">
        <f aca="false">IF(E264&lt;=D264,0,(1-F264*EXP(-(E264-D264)*Inputs!$C$8/Inputs!$C$6))*100)</f>
        <v>96.9715693775827</v>
      </c>
      <c r="H264" s="24" t="n">
        <f aca="false">ROUNDUP(E264/Inputs!$C$15,0)</f>
        <v>3</v>
      </c>
      <c r="I264" s="23" t="n">
        <f aca="false">IF(E264=0,0,D264/E264*100)</f>
        <v>14.6222222222222</v>
      </c>
      <c r="J264" s="25" t="str">
        <f aca="false">IF(G264&gt;=Inputs!$C$7,"GREEN",IF(G264&gt;=Inputs!$C$7-10,"AMBER","RED"))</f>
        <v>GREEN</v>
      </c>
      <c r="K264" s="20" t="n">
        <v>3.5</v>
      </c>
      <c r="L264" s="20" t="n">
        <v>5.9</v>
      </c>
    </row>
    <row r="265" customFormat="false" ht="15" hidden="false" customHeight="true" outlineLevel="0" collapsed="false">
      <c r="A265" s="26" t="s">
        <v>89</v>
      </c>
      <c r="B265" s="26" t="s">
        <v>54</v>
      </c>
      <c r="C265" s="26" t="n">
        <v>5.2</v>
      </c>
      <c r="D265" s="21" t="n">
        <f aca="false">C265*Inputs!$C$6/3600</f>
        <v>0.323555555555556</v>
      </c>
      <c r="E265" s="7" t="n">
        <v>2</v>
      </c>
      <c r="F265" s="22" t="n">
        <f aca="false">IF(E265&lt;=D265,"Understaffed",1-POISSON(E265-1,D265,1))</f>
        <v>0.0423125793600404</v>
      </c>
      <c r="G265" s="23" t="n">
        <f aca="false">IF(E265&lt;=D265,0,(1-F265*EXP(-(E265-D265)*Inputs!$C$8/Inputs!$C$6))*100)</f>
        <v>96.3569662090607</v>
      </c>
      <c r="H265" s="24" t="n">
        <f aca="false">ROUNDUP(E265/Inputs!$C$15,0)</f>
        <v>3</v>
      </c>
      <c r="I265" s="23" t="n">
        <f aca="false">IF(E265=0,0,D265/E265*100)</f>
        <v>16.1777777777778</v>
      </c>
      <c r="J265" s="25" t="str">
        <f aca="false">IF(G265&gt;=Inputs!$C$7,"GREEN",IF(G265&gt;=Inputs!$C$7-10,"AMBER","RED"))</f>
        <v>GREEN</v>
      </c>
      <c r="K265" s="26" t="n">
        <v>3.9</v>
      </c>
      <c r="L265" s="26" t="n">
        <v>6.6</v>
      </c>
    </row>
    <row r="266" customFormat="false" ht="15" hidden="false" customHeight="true" outlineLevel="0" collapsed="false">
      <c r="A266" s="20" t="s">
        <v>89</v>
      </c>
      <c r="B266" s="20" t="s">
        <v>55</v>
      </c>
      <c r="C266" s="20" t="n">
        <v>4.8</v>
      </c>
      <c r="D266" s="21" t="n">
        <f aca="false">C266*Inputs!$C$6/3600</f>
        <v>0.298666666666667</v>
      </c>
      <c r="E266" s="7" t="n">
        <v>2</v>
      </c>
      <c r="F266" s="22" t="n">
        <f aca="false">IF(E266&lt;=D266,"Understaffed",1-POISSON(E266-1,D266,1))</f>
        <v>0.0366404472768543</v>
      </c>
      <c r="G266" s="23" t="n">
        <f aca="false">IF(E266&lt;=D266,0,(1-F266*EXP(-(E266-D266)*Inputs!$C$8/Inputs!$C$6))*100)</f>
        <v>96.8523287548678</v>
      </c>
      <c r="H266" s="24" t="n">
        <f aca="false">ROUNDUP(E266/Inputs!$C$15,0)</f>
        <v>3</v>
      </c>
      <c r="I266" s="23" t="n">
        <f aca="false">IF(E266=0,0,D266/E266*100)</f>
        <v>14.9333333333333</v>
      </c>
      <c r="J266" s="25" t="str">
        <f aca="false">IF(G266&gt;=Inputs!$C$7,"GREEN",IF(G266&gt;=Inputs!$C$7-10,"AMBER","RED"))</f>
        <v>GREEN</v>
      </c>
      <c r="K266" s="20" t="n">
        <v>3.6</v>
      </c>
      <c r="L266" s="20" t="n">
        <v>6.2</v>
      </c>
    </row>
    <row r="267" customFormat="false" ht="15" hidden="false" customHeight="true" outlineLevel="0" collapsed="false">
      <c r="A267" s="26" t="s">
        <v>89</v>
      </c>
      <c r="B267" s="26" t="s">
        <v>56</v>
      </c>
      <c r="C267" s="26" t="n">
        <v>5.2</v>
      </c>
      <c r="D267" s="21" t="n">
        <f aca="false">C267*Inputs!$C$6/3600</f>
        <v>0.323555555555556</v>
      </c>
      <c r="E267" s="7" t="n">
        <v>2</v>
      </c>
      <c r="F267" s="22" t="n">
        <f aca="false">IF(E267&lt;=D267,"Understaffed",1-POISSON(E267-1,D267,1))</f>
        <v>0.0423125793600404</v>
      </c>
      <c r="G267" s="23" t="n">
        <f aca="false">IF(E267&lt;=D267,0,(1-F267*EXP(-(E267-D267)*Inputs!$C$8/Inputs!$C$6))*100)</f>
        <v>96.3569662090607</v>
      </c>
      <c r="H267" s="24" t="n">
        <f aca="false">ROUNDUP(E267/Inputs!$C$15,0)</f>
        <v>3</v>
      </c>
      <c r="I267" s="23" t="n">
        <f aca="false">IF(E267=0,0,D267/E267*100)</f>
        <v>16.1777777777778</v>
      </c>
      <c r="J267" s="25" t="str">
        <f aca="false">IF(G267&gt;=Inputs!$C$7,"GREEN",IF(G267&gt;=Inputs!$C$7-10,"AMBER","RED"))</f>
        <v>GREEN</v>
      </c>
      <c r="K267" s="26" t="n">
        <v>3.9</v>
      </c>
      <c r="L267" s="26" t="n">
        <v>6.7</v>
      </c>
    </row>
    <row r="268" customFormat="false" ht="15" hidden="false" customHeight="true" outlineLevel="0" collapsed="false">
      <c r="A268" s="20" t="s">
        <v>89</v>
      </c>
      <c r="B268" s="20" t="s">
        <v>57</v>
      </c>
      <c r="C268" s="20" t="n">
        <v>4.4</v>
      </c>
      <c r="D268" s="21" t="n">
        <f aca="false">C268*Inputs!$C$6/3600</f>
        <v>0.273777777777778</v>
      </c>
      <c r="E268" s="7" t="n">
        <v>2</v>
      </c>
      <c r="F268" s="22" t="n">
        <f aca="false">IF(E268&lt;=D268,"Understaffed",1-POISSON(E268-1,D268,1))</f>
        <v>0.0312906539744439</v>
      </c>
      <c r="G268" s="23" t="n">
        <f aca="false">IF(E268&lt;=D268,0,(1-F268*EXP(-(E268-D268)*Inputs!$C$8/Inputs!$C$6))*100)</f>
        <v>97.3178803910983</v>
      </c>
      <c r="H268" s="24" t="n">
        <f aca="false">ROUNDUP(E268/Inputs!$C$15,0)</f>
        <v>3</v>
      </c>
      <c r="I268" s="23" t="n">
        <f aca="false">IF(E268=0,0,D268/E268*100)</f>
        <v>13.6888888888889</v>
      </c>
      <c r="J268" s="25" t="str">
        <f aca="false">IF(G268&gt;=Inputs!$C$7,"GREEN",IF(G268&gt;=Inputs!$C$7-10,"AMBER","RED"))</f>
        <v>GREEN</v>
      </c>
      <c r="K268" s="20" t="n">
        <v>3.3</v>
      </c>
      <c r="L268" s="20" t="n">
        <v>5.6</v>
      </c>
    </row>
    <row r="269" customFormat="false" ht="15" hidden="false" customHeight="true" outlineLevel="0" collapsed="false">
      <c r="A269" s="26" t="s">
        <v>89</v>
      </c>
      <c r="B269" s="26" t="s">
        <v>58</v>
      </c>
      <c r="C269" s="26" t="n">
        <v>4.7</v>
      </c>
      <c r="D269" s="21" t="n">
        <f aca="false">C269*Inputs!$C$6/3600</f>
        <v>0.292444444444444</v>
      </c>
      <c r="E269" s="7" t="n">
        <v>2</v>
      </c>
      <c r="F269" s="22" t="n">
        <f aca="false">IF(E269&lt;=D269,"Understaffed",1-POISSON(E269-1,D269,1))</f>
        <v>0.0352720176833574</v>
      </c>
      <c r="G269" s="23" t="n">
        <f aca="false">IF(E269&lt;=D269,0,(1-F269*EXP(-(E269-D269)*Inputs!$C$8/Inputs!$C$6))*100)</f>
        <v>96.9715693775827</v>
      </c>
      <c r="H269" s="24" t="n">
        <f aca="false">ROUNDUP(E269/Inputs!$C$15,0)</f>
        <v>3</v>
      </c>
      <c r="I269" s="23" t="n">
        <f aca="false">IF(E269=0,0,D269/E269*100)</f>
        <v>14.6222222222222</v>
      </c>
      <c r="J269" s="25" t="str">
        <f aca="false">IF(G269&gt;=Inputs!$C$7,"GREEN",IF(G269&gt;=Inputs!$C$7-10,"AMBER","RED"))</f>
        <v>GREEN</v>
      </c>
      <c r="K269" s="26" t="n">
        <v>3.5</v>
      </c>
      <c r="L269" s="26" t="n">
        <v>6</v>
      </c>
    </row>
    <row r="270" customFormat="false" ht="15" hidden="false" customHeight="true" outlineLevel="0" collapsed="false">
      <c r="A270" s="20" t="s">
        <v>89</v>
      </c>
      <c r="B270" s="20" t="s">
        <v>59</v>
      </c>
      <c r="C270" s="20" t="n">
        <v>5</v>
      </c>
      <c r="D270" s="21" t="n">
        <f aca="false">C270*Inputs!$C$6/3600</f>
        <v>0.311111111111111</v>
      </c>
      <c r="E270" s="7" t="n">
        <v>2</v>
      </c>
      <c r="F270" s="22" t="n">
        <f aca="false">IF(E270&lt;=D270,"Understaffed",1-POISSON(E270-1,D270,1))</f>
        <v>0.0394374311863616</v>
      </c>
      <c r="G270" s="23" t="n">
        <f aca="false">IF(E270&lt;=D270,0,(1-F270*EXP(-(E270-D270)*Inputs!$C$8/Inputs!$C$6))*100)</f>
        <v>96.6082817491731</v>
      </c>
      <c r="H270" s="24" t="n">
        <f aca="false">ROUNDUP(E270/Inputs!$C$15,0)</f>
        <v>3</v>
      </c>
      <c r="I270" s="23" t="n">
        <f aca="false">IF(E270=0,0,D270/E270*100)</f>
        <v>15.5555555555556</v>
      </c>
      <c r="J270" s="25" t="str">
        <f aca="false">IF(G270&gt;=Inputs!$C$7,"GREEN",IF(G270&gt;=Inputs!$C$7-10,"AMBER","RED"))</f>
        <v>GREEN</v>
      </c>
      <c r="K270" s="20" t="n">
        <v>3.8</v>
      </c>
      <c r="L270" s="20" t="n">
        <v>6.4</v>
      </c>
    </row>
    <row r="271" customFormat="false" ht="15" hidden="false" customHeight="true" outlineLevel="0" collapsed="false">
      <c r="A271" s="26" t="s">
        <v>89</v>
      </c>
      <c r="B271" s="26" t="s">
        <v>60</v>
      </c>
      <c r="C271" s="26" t="n">
        <v>5.1</v>
      </c>
      <c r="D271" s="21" t="n">
        <f aca="false">C271*Inputs!$C$6/3600</f>
        <v>0.317333333333333</v>
      </c>
      <c r="E271" s="7" t="n">
        <v>2</v>
      </c>
      <c r="F271" s="22" t="n">
        <f aca="false">IF(E271&lt;=D271,"Understaffed",1-POISSON(E271-1,D271,1))</f>
        <v>0.0408653834111161</v>
      </c>
      <c r="G271" s="23" t="n">
        <f aca="false">IF(E271&lt;=D271,0,(1-F271*EXP(-(E271-D271)*Inputs!$C$8/Inputs!$C$6))*100)</f>
        <v>96.4835212103744</v>
      </c>
      <c r="H271" s="24" t="n">
        <f aca="false">ROUNDUP(E271/Inputs!$C$15,0)</f>
        <v>3</v>
      </c>
      <c r="I271" s="23" t="n">
        <f aca="false">IF(E271=0,0,D271/E271*100)</f>
        <v>15.8666666666667</v>
      </c>
      <c r="J271" s="25" t="str">
        <f aca="false">IF(G271&gt;=Inputs!$C$7,"GREEN",IF(G271&gt;=Inputs!$C$7-10,"AMBER","RED"))</f>
        <v>GREEN</v>
      </c>
      <c r="K271" s="26" t="n">
        <v>3.9</v>
      </c>
      <c r="L271" s="26" t="n">
        <v>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5" min="4" style="1" width="14"/>
    <col collapsed="false" customWidth="true" hidden="false" outlineLevel="0" max="6" min="6" style="1" width="12"/>
  </cols>
  <sheetData>
    <row r="1" customFormat="false" ht="26.25" hidden="false" customHeight="true" outlineLevel="0" collapsed="false">
      <c r="A1" s="27" t="s">
        <v>39</v>
      </c>
      <c r="B1" s="27" t="s">
        <v>90</v>
      </c>
      <c r="C1" s="27" t="s">
        <v>91</v>
      </c>
      <c r="D1" s="27" t="s">
        <v>92</v>
      </c>
      <c r="E1" s="27" t="s">
        <v>93</v>
      </c>
      <c r="F1" s="27" t="s">
        <v>94</v>
      </c>
    </row>
    <row r="2" customFormat="false" ht="15" hidden="false" customHeight="true" outlineLevel="0" collapsed="false">
      <c r="A2" s="20" t="s">
        <v>51</v>
      </c>
      <c r="B2" s="28" t="n">
        <f aca="false">SUM('Erlang C Calculator'!C2:C10)</f>
        <v>54.9</v>
      </c>
      <c r="C2" s="29" t="n">
        <f aca="false">MAX('Erlang C Calculator'!H2:H10)</f>
        <v>3</v>
      </c>
      <c r="D2" s="30" t="n">
        <f aca="false">AVERAGE('Erlang C Calculator'!G2:G10)</f>
        <v>95.1323987774658</v>
      </c>
      <c r="E2" s="30" t="n">
        <f aca="false">MIN('Erlang C Calculator'!G2:G10)</f>
        <v>94.5583926971246</v>
      </c>
      <c r="F2" s="28" t="str">
        <f aca="false">IF(E2&gt;=Inputs!$C$7,"OK",IF(E2&gt;=Inputs!$C$7-10,"REVIEW","ALERT"))</f>
        <v>OK</v>
      </c>
    </row>
    <row r="3" customFormat="false" ht="15" hidden="false" customHeight="true" outlineLevel="0" collapsed="false">
      <c r="A3" s="26" t="s">
        <v>61</v>
      </c>
      <c r="B3" s="25" t="n">
        <f aca="false">SUM('Erlang C Calculator'!C11:C19)</f>
        <v>47.1</v>
      </c>
      <c r="C3" s="24" t="n">
        <f aca="false">MAX('Erlang C Calculator'!H11:H19)</f>
        <v>3</v>
      </c>
      <c r="D3" s="23" t="n">
        <f aca="false">AVERAGE('Erlang C Calculator'!G11:G19)</f>
        <v>96.3074877804118</v>
      </c>
      <c r="E3" s="23" t="n">
        <f aca="false">MIN('Erlang C Calculator'!G11:G19)</f>
        <v>95.8332470786567</v>
      </c>
      <c r="F3" s="25" t="str">
        <f aca="false">IF(E3&gt;=Inputs!$C$7,"OK",IF(E3&gt;=Inputs!$C$7-10,"REVIEW","ALERT"))</f>
        <v>OK</v>
      </c>
    </row>
    <row r="4" customFormat="false" ht="15" hidden="false" customHeight="true" outlineLevel="0" collapsed="false">
      <c r="A4" s="20" t="s">
        <v>62</v>
      </c>
      <c r="B4" s="28" t="n">
        <f aca="false">SUM('Erlang C Calculator'!C20:C28)</f>
        <v>54</v>
      </c>
      <c r="C4" s="29" t="n">
        <f aca="false">MAX('Erlang C Calculator'!H20:H28)</f>
        <v>3</v>
      </c>
      <c r="D4" s="30" t="n">
        <f aca="false">AVERAGE('Erlang C Calculator'!G20:G28)</f>
        <v>95.2740075447237</v>
      </c>
      <c r="E4" s="30" t="n">
        <f aca="false">MIN('Erlang C Calculator'!G20:G28)</f>
        <v>94.7063055365373</v>
      </c>
      <c r="F4" s="28" t="str">
        <f aca="false">IF(E4&gt;=Inputs!$C$7,"OK",IF(E4&gt;=Inputs!$C$7-10,"REVIEW","ALERT"))</f>
        <v>OK</v>
      </c>
    </row>
    <row r="5" customFormat="false" ht="15" hidden="false" customHeight="true" outlineLevel="0" collapsed="false">
      <c r="A5" s="26" t="s">
        <v>63</v>
      </c>
      <c r="B5" s="25" t="n">
        <f aca="false">SUM('Erlang C Calculator'!C29:C37)</f>
        <v>50</v>
      </c>
      <c r="C5" s="24" t="n">
        <f aca="false">MAX('Erlang C Calculator'!H29:H37)</f>
        <v>3</v>
      </c>
      <c r="D5" s="23" t="n">
        <f aca="false">AVERAGE('Erlang C Calculator'!G29:G37)</f>
        <v>95.8850236500423</v>
      </c>
      <c r="E5" s="23" t="n">
        <f aca="false">MIN('Erlang C Calculator'!G29:G37)</f>
        <v>95.4226950818606</v>
      </c>
      <c r="F5" s="25" t="str">
        <f aca="false">IF(E5&gt;=Inputs!$C$7,"OK",IF(E5&gt;=Inputs!$C$7-10,"REVIEW","ALERT"))</f>
        <v>OK</v>
      </c>
    </row>
    <row r="6" customFormat="false" ht="15" hidden="false" customHeight="true" outlineLevel="0" collapsed="false">
      <c r="A6" s="20" t="s">
        <v>64</v>
      </c>
      <c r="B6" s="28" t="n">
        <f aca="false">SUM('Erlang C Calculator'!C38:C46)</f>
        <v>54</v>
      </c>
      <c r="C6" s="29" t="n">
        <f aca="false">MAX('Erlang C Calculator'!H38:H46)</f>
        <v>3</v>
      </c>
      <c r="D6" s="30" t="n">
        <f aca="false">AVERAGE('Erlang C Calculator'!G38:G46)</f>
        <v>95.2740075447237</v>
      </c>
      <c r="E6" s="30" t="n">
        <f aca="false">MIN('Erlang C Calculator'!G38:G46)</f>
        <v>94.7063055365373</v>
      </c>
      <c r="F6" s="28" t="str">
        <f aca="false">IF(E6&gt;=Inputs!$C$7,"OK",IF(E6&gt;=Inputs!$C$7-10,"REVIEW","ALERT"))</f>
        <v>OK</v>
      </c>
    </row>
    <row r="7" customFormat="false" ht="15" hidden="false" customHeight="true" outlineLevel="0" collapsed="false">
      <c r="A7" s="26" t="s">
        <v>65</v>
      </c>
      <c r="B7" s="25" t="n">
        <f aca="false">SUM('Erlang C Calculator'!C47:C55)</f>
        <v>47.1</v>
      </c>
      <c r="C7" s="24" t="n">
        <f aca="false">MAX('Erlang C Calculator'!H47:H55)</f>
        <v>3</v>
      </c>
      <c r="D7" s="23" t="n">
        <f aca="false">AVERAGE('Erlang C Calculator'!G47:G55)</f>
        <v>96.3074877804118</v>
      </c>
      <c r="E7" s="23" t="n">
        <f aca="false">MIN('Erlang C Calculator'!G47:G55)</f>
        <v>95.8332470786567</v>
      </c>
      <c r="F7" s="25" t="str">
        <f aca="false">IF(E7&gt;=Inputs!$C$7,"OK",IF(E7&gt;=Inputs!$C$7-10,"REVIEW","ALERT"))</f>
        <v>OK</v>
      </c>
    </row>
    <row r="8" customFormat="false" ht="15" hidden="false" customHeight="true" outlineLevel="0" collapsed="false">
      <c r="A8" s="20" t="s">
        <v>66</v>
      </c>
      <c r="B8" s="28" t="n">
        <f aca="false">SUM('Erlang C Calculator'!C56:C64)</f>
        <v>47.1</v>
      </c>
      <c r="C8" s="29" t="n">
        <f aca="false">MAX('Erlang C Calculator'!H56:H64)</f>
        <v>3</v>
      </c>
      <c r="D8" s="30" t="n">
        <f aca="false">AVERAGE('Erlang C Calculator'!G56:G64)</f>
        <v>96.3074877804118</v>
      </c>
      <c r="E8" s="30" t="n">
        <f aca="false">MIN('Erlang C Calculator'!G56:G64)</f>
        <v>95.8332470786567</v>
      </c>
      <c r="F8" s="28" t="str">
        <f aca="false">IF(E8&gt;=Inputs!$C$7,"OK",IF(E8&gt;=Inputs!$C$7-10,"REVIEW","ALERT"))</f>
        <v>OK</v>
      </c>
    </row>
    <row r="9" customFormat="false" ht="15" hidden="false" customHeight="true" outlineLevel="0" collapsed="false">
      <c r="A9" s="26" t="s">
        <v>67</v>
      </c>
      <c r="B9" s="25" t="n">
        <f aca="false">SUM('Erlang C Calculator'!C65:C73)</f>
        <v>54</v>
      </c>
      <c r="C9" s="24" t="n">
        <f aca="false">MAX('Erlang C Calculator'!H65:H73)</f>
        <v>3</v>
      </c>
      <c r="D9" s="23" t="n">
        <f aca="false">AVERAGE('Erlang C Calculator'!G65:G73)</f>
        <v>95.2740075447237</v>
      </c>
      <c r="E9" s="23" t="n">
        <f aca="false">MIN('Erlang C Calculator'!G65:G73)</f>
        <v>94.7063055365373</v>
      </c>
      <c r="F9" s="25" t="str">
        <f aca="false">IF(E9&gt;=Inputs!$C$7,"OK",IF(E9&gt;=Inputs!$C$7-10,"REVIEW","ALERT"))</f>
        <v>OK</v>
      </c>
    </row>
    <row r="10" customFormat="false" ht="15" hidden="false" customHeight="true" outlineLevel="0" collapsed="false">
      <c r="A10" s="20" t="s">
        <v>68</v>
      </c>
      <c r="B10" s="28" t="n">
        <f aca="false">SUM('Erlang C Calculator'!C74:C82)</f>
        <v>47.1</v>
      </c>
      <c r="C10" s="29" t="n">
        <f aca="false">MAX('Erlang C Calculator'!H74:H82)</f>
        <v>3</v>
      </c>
      <c r="D10" s="30" t="n">
        <f aca="false">AVERAGE('Erlang C Calculator'!G74:G82)</f>
        <v>96.3074877804118</v>
      </c>
      <c r="E10" s="30" t="n">
        <f aca="false">MIN('Erlang C Calculator'!G74:G82)</f>
        <v>95.8332470786567</v>
      </c>
      <c r="F10" s="28" t="str">
        <f aca="false">IF(E10&gt;=Inputs!$C$7,"OK",IF(E10&gt;=Inputs!$C$7-10,"REVIEW","ALERT"))</f>
        <v>OK</v>
      </c>
    </row>
    <row r="11" customFormat="false" ht="15" hidden="false" customHeight="true" outlineLevel="0" collapsed="false">
      <c r="A11" s="26" t="s">
        <v>69</v>
      </c>
      <c r="B11" s="25" t="n">
        <f aca="false">SUM('Erlang C Calculator'!C83:C91)</f>
        <v>53</v>
      </c>
      <c r="C11" s="24" t="n">
        <f aca="false">MAX('Erlang C Calculator'!H83:H91)</f>
        <v>3</v>
      </c>
      <c r="D11" s="23" t="n">
        <f aca="false">AVERAGE('Erlang C Calculator'!G83:G91)</f>
        <v>95.4297622998314</v>
      </c>
      <c r="E11" s="23" t="n">
        <f aca="false">MIN('Erlang C Calculator'!G83:G91)</f>
        <v>94.8527004531687</v>
      </c>
      <c r="F11" s="25" t="str">
        <f aca="false">IF(E11&gt;=Inputs!$C$7,"OK",IF(E11&gt;=Inputs!$C$7-10,"REVIEW","ALERT"))</f>
        <v>OK</v>
      </c>
    </row>
    <row r="12" customFormat="false" ht="15" hidden="false" customHeight="true" outlineLevel="0" collapsed="false">
      <c r="A12" s="20" t="s">
        <v>70</v>
      </c>
      <c r="B12" s="28" t="n">
        <f aca="false">SUM('Erlang C Calculator'!C92:C100)</f>
        <v>49</v>
      </c>
      <c r="C12" s="29" t="n">
        <f aca="false">MAX('Erlang C Calculator'!H92:H100)</f>
        <v>3</v>
      </c>
      <c r="D12" s="30" t="n">
        <f aca="false">AVERAGE('Erlang C Calculator'!G92:G100)</f>
        <v>96.0328855955634</v>
      </c>
      <c r="E12" s="30" t="n">
        <f aca="false">MIN('Erlang C Calculator'!G92:G100)</f>
        <v>95.5611944277516</v>
      </c>
      <c r="F12" s="28" t="str">
        <f aca="false">IF(E12&gt;=Inputs!$C$7,"OK",IF(E12&gt;=Inputs!$C$7-10,"REVIEW","ALERT"))</f>
        <v>OK</v>
      </c>
    </row>
    <row r="13" customFormat="false" ht="15" hidden="false" customHeight="true" outlineLevel="0" collapsed="false">
      <c r="A13" s="26" t="s">
        <v>71</v>
      </c>
      <c r="B13" s="25" t="n">
        <f aca="false">SUM('Erlang C Calculator'!C101:C109)</f>
        <v>53</v>
      </c>
      <c r="C13" s="24" t="n">
        <f aca="false">MAX('Erlang C Calculator'!H101:H109)</f>
        <v>3</v>
      </c>
      <c r="D13" s="23" t="n">
        <f aca="false">AVERAGE('Erlang C Calculator'!G101:G109)</f>
        <v>95.4297622998314</v>
      </c>
      <c r="E13" s="23" t="n">
        <f aca="false">MIN('Erlang C Calculator'!G101:G109)</f>
        <v>94.8527004531687</v>
      </c>
      <c r="F13" s="25" t="str">
        <f aca="false">IF(E13&gt;=Inputs!$C$7,"OK",IF(E13&gt;=Inputs!$C$7-10,"REVIEW","ALERT"))</f>
        <v>OK</v>
      </c>
    </row>
    <row r="14" customFormat="false" ht="15" hidden="false" customHeight="true" outlineLevel="0" collapsed="false">
      <c r="A14" s="20" t="s">
        <v>72</v>
      </c>
      <c r="B14" s="28" t="n">
        <f aca="false">SUM('Erlang C Calculator'!C110:C118)</f>
        <v>46.1</v>
      </c>
      <c r="C14" s="29" t="n">
        <f aca="false">MAX('Erlang C Calculator'!H110:H118)</f>
        <v>3</v>
      </c>
      <c r="D14" s="30" t="n">
        <f aca="false">AVERAGE('Erlang C Calculator'!G110:G118)</f>
        <v>96.4488072419395</v>
      </c>
      <c r="E14" s="30" t="n">
        <f aca="false">MIN('Erlang C Calculator'!G110:G118)</f>
        <v>95.9667576698329</v>
      </c>
      <c r="F14" s="28" t="str">
        <f aca="false">IF(E14&gt;=Inputs!$C$7,"OK",IF(E14&gt;=Inputs!$C$7-10,"REVIEW","ALERT"))</f>
        <v>OK</v>
      </c>
    </row>
    <row r="15" customFormat="false" ht="15" hidden="false" customHeight="true" outlineLevel="0" collapsed="false">
      <c r="A15" s="26" t="s">
        <v>73</v>
      </c>
      <c r="B15" s="25" t="n">
        <f aca="false">SUM('Erlang C Calculator'!C119:C127)</f>
        <v>46.1</v>
      </c>
      <c r="C15" s="24" t="n">
        <f aca="false">MAX('Erlang C Calculator'!H119:H127)</f>
        <v>3</v>
      </c>
      <c r="D15" s="23" t="n">
        <f aca="false">AVERAGE('Erlang C Calculator'!G119:G127)</f>
        <v>96.4488072419395</v>
      </c>
      <c r="E15" s="23" t="n">
        <f aca="false">MIN('Erlang C Calculator'!G119:G127)</f>
        <v>95.9667576698329</v>
      </c>
      <c r="F15" s="25" t="str">
        <f aca="false">IF(E15&gt;=Inputs!$C$7,"OK",IF(E15&gt;=Inputs!$C$7-10,"REVIEW","ALERT"))</f>
        <v>OK</v>
      </c>
    </row>
    <row r="16" customFormat="false" ht="15" hidden="false" customHeight="true" outlineLevel="0" collapsed="false">
      <c r="A16" s="20" t="s">
        <v>74</v>
      </c>
      <c r="B16" s="28" t="n">
        <f aca="false">SUM('Erlang C Calculator'!C128:C136)</f>
        <v>53</v>
      </c>
      <c r="C16" s="29" t="n">
        <f aca="false">MAX('Erlang C Calculator'!H128:H136)</f>
        <v>3</v>
      </c>
      <c r="D16" s="30" t="n">
        <f aca="false">AVERAGE('Erlang C Calculator'!G128:G136)</f>
        <v>95.4297622998314</v>
      </c>
      <c r="E16" s="30" t="n">
        <f aca="false">MIN('Erlang C Calculator'!G128:G136)</f>
        <v>94.8527004531687</v>
      </c>
      <c r="F16" s="28" t="str">
        <f aca="false">IF(E16&gt;=Inputs!$C$7,"OK",IF(E16&gt;=Inputs!$C$7-10,"REVIEW","ALERT"))</f>
        <v>OK</v>
      </c>
    </row>
    <row r="17" customFormat="false" ht="15" hidden="false" customHeight="true" outlineLevel="0" collapsed="false">
      <c r="A17" s="26" t="s">
        <v>75</v>
      </c>
      <c r="B17" s="25" t="n">
        <f aca="false">SUM('Erlang C Calculator'!C137:C145)</f>
        <v>46.1</v>
      </c>
      <c r="C17" s="24" t="n">
        <f aca="false">MAX('Erlang C Calculator'!H137:H145)</f>
        <v>3</v>
      </c>
      <c r="D17" s="23" t="n">
        <f aca="false">AVERAGE('Erlang C Calculator'!G137:G145)</f>
        <v>96.4488072419395</v>
      </c>
      <c r="E17" s="23" t="n">
        <f aca="false">MIN('Erlang C Calculator'!G137:G145)</f>
        <v>95.9667576698329</v>
      </c>
      <c r="F17" s="25" t="str">
        <f aca="false">IF(E17&gt;=Inputs!$C$7,"OK",IF(E17&gt;=Inputs!$C$7-10,"REVIEW","ALERT"))</f>
        <v>OK</v>
      </c>
    </row>
    <row r="18" customFormat="false" ht="15" hidden="false" customHeight="true" outlineLevel="0" collapsed="false">
      <c r="A18" s="20" t="s">
        <v>76</v>
      </c>
      <c r="B18" s="28" t="n">
        <f aca="false">SUM('Erlang C Calculator'!C146:C154)</f>
        <v>53</v>
      </c>
      <c r="C18" s="29" t="n">
        <f aca="false">MAX('Erlang C Calculator'!H146:H154)</f>
        <v>3</v>
      </c>
      <c r="D18" s="30" t="n">
        <f aca="false">AVERAGE('Erlang C Calculator'!G146:G154)</f>
        <v>95.4297622998314</v>
      </c>
      <c r="E18" s="30" t="n">
        <f aca="false">MIN('Erlang C Calculator'!G146:G154)</f>
        <v>94.8527004531687</v>
      </c>
      <c r="F18" s="28" t="str">
        <f aca="false">IF(E18&gt;=Inputs!$C$7,"OK",IF(E18&gt;=Inputs!$C$7-10,"REVIEW","ALERT"))</f>
        <v>OK</v>
      </c>
    </row>
    <row r="19" customFormat="false" ht="15" hidden="false" customHeight="true" outlineLevel="0" collapsed="false">
      <c r="A19" s="26" t="s">
        <v>77</v>
      </c>
      <c r="B19" s="25" t="n">
        <f aca="false">SUM('Erlang C Calculator'!C155:C163)</f>
        <v>49</v>
      </c>
      <c r="C19" s="24" t="n">
        <f aca="false">MAX('Erlang C Calculator'!H155:H163)</f>
        <v>3</v>
      </c>
      <c r="D19" s="23" t="n">
        <f aca="false">AVERAGE('Erlang C Calculator'!G155:G163)</f>
        <v>96.0328855955634</v>
      </c>
      <c r="E19" s="23" t="n">
        <f aca="false">MIN('Erlang C Calculator'!G155:G163)</f>
        <v>95.5611944277516</v>
      </c>
      <c r="F19" s="25" t="str">
        <f aca="false">IF(E19&gt;=Inputs!$C$7,"OK",IF(E19&gt;=Inputs!$C$7-10,"REVIEW","ALERT"))</f>
        <v>OK</v>
      </c>
    </row>
    <row r="20" customFormat="false" ht="15" hidden="false" customHeight="true" outlineLevel="0" collapsed="false">
      <c r="A20" s="20" t="s">
        <v>78</v>
      </c>
      <c r="B20" s="28" t="n">
        <f aca="false">SUM('Erlang C Calculator'!C164:C172)</f>
        <v>53</v>
      </c>
      <c r="C20" s="29" t="n">
        <f aca="false">MAX('Erlang C Calculator'!H164:H172)</f>
        <v>3</v>
      </c>
      <c r="D20" s="30" t="n">
        <f aca="false">AVERAGE('Erlang C Calculator'!G164:G172)</f>
        <v>95.4297622998314</v>
      </c>
      <c r="E20" s="30" t="n">
        <f aca="false">MIN('Erlang C Calculator'!G164:G172)</f>
        <v>94.8527004531687</v>
      </c>
      <c r="F20" s="28" t="str">
        <f aca="false">IF(E20&gt;=Inputs!$C$7,"OK",IF(E20&gt;=Inputs!$C$7-10,"REVIEW","ALERT"))</f>
        <v>OK</v>
      </c>
    </row>
    <row r="21" customFormat="false" ht="15" hidden="false" customHeight="true" outlineLevel="0" collapsed="false">
      <c r="A21" s="26" t="s">
        <v>79</v>
      </c>
      <c r="B21" s="25" t="n">
        <f aca="false">SUM('Erlang C Calculator'!C173:C181)</f>
        <v>45.2</v>
      </c>
      <c r="C21" s="24" t="n">
        <f aca="false">MAX('Erlang C Calculator'!H173:H181)</f>
        <v>3</v>
      </c>
      <c r="D21" s="23" t="n">
        <f aca="false">AVERAGE('Erlang C Calculator'!G173:G181)</f>
        <v>96.5738835105596</v>
      </c>
      <c r="E21" s="23" t="n">
        <f aca="false">MIN('Erlang C Calculator'!G173:G181)</f>
        <v>96.0985623113331</v>
      </c>
      <c r="F21" s="25" t="str">
        <f aca="false">IF(E21&gt;=Inputs!$C$7,"OK",IF(E21&gt;=Inputs!$C$7-10,"REVIEW","ALERT"))</f>
        <v>OK</v>
      </c>
    </row>
    <row r="22" customFormat="false" ht="15" hidden="false" customHeight="true" outlineLevel="0" collapsed="false">
      <c r="A22" s="20" t="s">
        <v>80</v>
      </c>
      <c r="B22" s="28" t="n">
        <f aca="false">SUM('Erlang C Calculator'!C182:C190)</f>
        <v>46.1</v>
      </c>
      <c r="C22" s="29" t="n">
        <f aca="false">MAX('Erlang C Calculator'!H182:H190)</f>
        <v>3</v>
      </c>
      <c r="D22" s="30" t="n">
        <f aca="false">AVERAGE('Erlang C Calculator'!G182:G190)</f>
        <v>96.4488072419395</v>
      </c>
      <c r="E22" s="30" t="n">
        <f aca="false">MIN('Erlang C Calculator'!G182:G190)</f>
        <v>95.9667576698329</v>
      </c>
      <c r="F22" s="28" t="str">
        <f aca="false">IF(E22&gt;=Inputs!$C$7,"OK",IF(E22&gt;=Inputs!$C$7-10,"REVIEW","ALERT"))</f>
        <v>OK</v>
      </c>
    </row>
    <row r="23" customFormat="false" ht="15" hidden="false" customHeight="true" outlineLevel="0" collapsed="false">
      <c r="A23" s="26" t="s">
        <v>81</v>
      </c>
      <c r="B23" s="25" t="n">
        <f aca="false">SUM('Erlang C Calculator'!C191:C199)</f>
        <v>52</v>
      </c>
      <c r="C23" s="24" t="n">
        <f aca="false">MAX('Erlang C Calculator'!H191:H199)</f>
        <v>3</v>
      </c>
      <c r="D23" s="23" t="n">
        <f aca="false">AVERAGE('Erlang C Calculator'!G191:G199)</f>
        <v>95.5838932370526</v>
      </c>
      <c r="E23" s="23" t="n">
        <f aca="false">MIN('Erlang C Calculator'!G191:G199)</f>
        <v>94.9975572927541</v>
      </c>
      <c r="F23" s="25" t="str">
        <f aca="false">IF(E23&gt;=Inputs!$C$7,"OK",IF(E23&gt;=Inputs!$C$7-10,"REVIEW","ALERT"))</f>
        <v>OK</v>
      </c>
    </row>
    <row r="24" customFormat="false" ht="15" hidden="false" customHeight="true" outlineLevel="0" collapsed="false">
      <c r="A24" s="20" t="s">
        <v>82</v>
      </c>
      <c r="B24" s="28" t="n">
        <f aca="false">SUM('Erlang C Calculator'!C200:C208)</f>
        <v>45.2</v>
      </c>
      <c r="C24" s="29" t="n">
        <f aca="false">MAX('Erlang C Calculator'!H200:H208)</f>
        <v>3</v>
      </c>
      <c r="D24" s="30" t="n">
        <f aca="false">AVERAGE('Erlang C Calculator'!G200:G208)</f>
        <v>96.5738835105596</v>
      </c>
      <c r="E24" s="30" t="n">
        <f aca="false">MIN('Erlang C Calculator'!G200:G208)</f>
        <v>96.0985623113331</v>
      </c>
      <c r="F24" s="28" t="str">
        <f aca="false">IF(E24&gt;=Inputs!$C$7,"OK",IF(E24&gt;=Inputs!$C$7-10,"REVIEW","ALERT"))</f>
        <v>OK</v>
      </c>
    </row>
    <row r="25" customFormat="false" ht="15" hidden="false" customHeight="true" outlineLevel="0" collapsed="false">
      <c r="A25" s="26" t="s">
        <v>83</v>
      </c>
      <c r="B25" s="25" t="n">
        <f aca="false">SUM('Erlang C Calculator'!C209:C217)</f>
        <v>52</v>
      </c>
      <c r="C25" s="24" t="n">
        <f aca="false">MAX('Erlang C Calculator'!H209:H217)</f>
        <v>3</v>
      </c>
      <c r="D25" s="23" t="n">
        <f aca="false">AVERAGE('Erlang C Calculator'!G209:G217)</f>
        <v>95.5838932370526</v>
      </c>
      <c r="E25" s="23" t="n">
        <f aca="false">MIN('Erlang C Calculator'!G209:G217)</f>
        <v>94.9975572927541</v>
      </c>
      <c r="F25" s="25" t="str">
        <f aca="false">IF(E25&gt;=Inputs!$C$7,"OK",IF(E25&gt;=Inputs!$C$7-10,"REVIEW","ALERT"))</f>
        <v>OK</v>
      </c>
    </row>
    <row r="26" customFormat="false" ht="15" hidden="false" customHeight="true" outlineLevel="0" collapsed="false">
      <c r="A26" s="20" t="s">
        <v>84</v>
      </c>
      <c r="B26" s="28" t="n">
        <f aca="false">SUM('Erlang C Calculator'!C218:C226)</f>
        <v>48.1</v>
      </c>
      <c r="C26" s="29" t="n">
        <f aca="false">MAX('Erlang C Calculator'!H218:H226)</f>
        <v>3</v>
      </c>
      <c r="D26" s="30" t="n">
        <f aca="false">AVERAGE('Erlang C Calculator'!G218:G226)</f>
        <v>96.163639846753</v>
      </c>
      <c r="E26" s="30" t="n">
        <f aca="false">MIN('Erlang C Calculator'!G218:G226)</f>
        <v>95.6980521807102</v>
      </c>
      <c r="F26" s="28" t="str">
        <f aca="false">IF(E26&gt;=Inputs!$C$7,"OK",IF(E26&gt;=Inputs!$C$7-10,"REVIEW","ALERT"))</f>
        <v>OK</v>
      </c>
    </row>
    <row r="27" customFormat="false" ht="15" hidden="false" customHeight="true" outlineLevel="0" collapsed="false">
      <c r="A27" s="26" t="s">
        <v>85</v>
      </c>
      <c r="B27" s="25" t="n">
        <f aca="false">SUM('Erlang C Calculator'!C227:C235)</f>
        <v>52</v>
      </c>
      <c r="C27" s="24" t="n">
        <f aca="false">MAX('Erlang C Calculator'!H227:H235)</f>
        <v>3</v>
      </c>
      <c r="D27" s="23" t="n">
        <f aca="false">AVERAGE('Erlang C Calculator'!G227:G235)</f>
        <v>95.5838932370526</v>
      </c>
      <c r="E27" s="23" t="n">
        <f aca="false">MIN('Erlang C Calculator'!G227:G235)</f>
        <v>94.9975572927541</v>
      </c>
      <c r="F27" s="25" t="str">
        <f aca="false">IF(E27&gt;=Inputs!$C$7,"OK",IF(E27&gt;=Inputs!$C$7-10,"REVIEW","ALERT"))</f>
        <v>OK</v>
      </c>
    </row>
    <row r="28" customFormat="false" ht="15" hidden="false" customHeight="true" outlineLevel="0" collapsed="false">
      <c r="A28" s="20" t="s">
        <v>86</v>
      </c>
      <c r="B28" s="28" t="n">
        <f aca="false">SUM('Erlang C Calculator'!C236:C244)</f>
        <v>45.2</v>
      </c>
      <c r="C28" s="29" t="n">
        <f aca="false">MAX('Erlang C Calculator'!H236:H244)</f>
        <v>3</v>
      </c>
      <c r="D28" s="30" t="n">
        <f aca="false">AVERAGE('Erlang C Calculator'!G236:G244)</f>
        <v>96.5738835105596</v>
      </c>
      <c r="E28" s="30" t="n">
        <f aca="false">MIN('Erlang C Calculator'!G236:G244)</f>
        <v>96.0985623113331</v>
      </c>
      <c r="F28" s="28" t="str">
        <f aca="false">IF(E28&gt;=Inputs!$C$7,"OK",IF(E28&gt;=Inputs!$C$7-10,"REVIEW","ALERT"))</f>
        <v>OK</v>
      </c>
    </row>
    <row r="29" customFormat="false" ht="15" hidden="false" customHeight="true" outlineLevel="0" collapsed="false">
      <c r="A29" s="26" t="s">
        <v>87</v>
      </c>
      <c r="B29" s="25" t="n">
        <f aca="false">SUM('Erlang C Calculator'!C245:C253)</f>
        <v>45.2</v>
      </c>
      <c r="C29" s="24" t="n">
        <f aca="false">MAX('Erlang C Calculator'!H245:H253)</f>
        <v>3</v>
      </c>
      <c r="D29" s="23" t="n">
        <f aca="false">AVERAGE('Erlang C Calculator'!G245:G253)</f>
        <v>96.5738835105596</v>
      </c>
      <c r="E29" s="23" t="n">
        <f aca="false">MIN('Erlang C Calculator'!G245:G253)</f>
        <v>96.0985623113331</v>
      </c>
      <c r="F29" s="25" t="str">
        <f aca="false">IF(E29&gt;=Inputs!$C$7,"OK",IF(E29&gt;=Inputs!$C$7-10,"REVIEW","ALERT"))</f>
        <v>OK</v>
      </c>
    </row>
    <row r="30" customFormat="false" ht="15" hidden="false" customHeight="true" outlineLevel="0" collapsed="false">
      <c r="A30" s="20" t="s">
        <v>88</v>
      </c>
      <c r="B30" s="28" t="n">
        <f aca="false">SUM('Erlang C Calculator'!C254:C262)</f>
        <v>52</v>
      </c>
      <c r="C30" s="29" t="n">
        <f aca="false">MAX('Erlang C Calculator'!H254:H262)</f>
        <v>3</v>
      </c>
      <c r="D30" s="30" t="n">
        <f aca="false">AVERAGE('Erlang C Calculator'!G254:G262)</f>
        <v>95.5838932370526</v>
      </c>
      <c r="E30" s="30" t="n">
        <f aca="false">MIN('Erlang C Calculator'!G254:G262)</f>
        <v>94.9975572927541</v>
      </c>
      <c r="F30" s="28" t="str">
        <f aca="false">IF(E30&gt;=Inputs!$C$7,"OK",IF(E30&gt;=Inputs!$C$7-10,"REVIEW","ALERT"))</f>
        <v>OK</v>
      </c>
    </row>
    <row r="31" customFormat="false" ht="15" hidden="false" customHeight="true" outlineLevel="0" collapsed="false">
      <c r="A31" s="26" t="s">
        <v>89</v>
      </c>
      <c r="B31" s="25" t="n">
        <f aca="false">SUM('Erlang C Calculator'!C263:C271)</f>
        <v>43.9</v>
      </c>
      <c r="C31" s="24" t="n">
        <f aca="false">MAX('Erlang C Calculator'!H263:H271)</f>
        <v>3</v>
      </c>
      <c r="D31" s="23" t="n">
        <f aca="false">AVERAGE('Erlang C Calculator'!G263:G271)</f>
        <v>96.752379114852</v>
      </c>
      <c r="E31" s="23" t="n">
        <f aca="false">MIN('Erlang C Calculator'!G263:G271)</f>
        <v>96.3569662090607</v>
      </c>
      <c r="F31" s="25" t="str">
        <f aca="false">IF(E31&gt;=Inputs!$C$7,"OK",IF(E31&gt;=Inputs!$C$7-10,"REVIEW","ALERT"))</f>
        <v>OK</v>
      </c>
    </row>
    <row r="32" customFormat="false" ht="15" hidden="false" customHeight="true" outlineLevel="0" collapsed="false">
      <c r="A32" s="31" t="s">
        <v>95</v>
      </c>
      <c r="B32" s="32" t="n">
        <f aca="false">SUM(B2:B31)</f>
        <v>1483.5</v>
      </c>
      <c r="C32" s="32" t="n">
        <f aca="false">MAX(C2:C31)</f>
        <v>3</v>
      </c>
      <c r="D32" s="33" t="n">
        <f aca="false">AVERAGE(D2:D31)</f>
        <v>95.9542111264474</v>
      </c>
      <c r="E32" s="33" t="n">
        <f aca="false">MIN(E2:E31)</f>
        <v>94.5583926971246</v>
      </c>
      <c r="F32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2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8"/>
    <col collapsed="false" customWidth="true" hidden="false" outlineLevel="0" max="6" min="3" style="1" width="18"/>
    <col collapsed="false" customWidth="true" hidden="false" outlineLevel="0" max="7" min="7" style="1" width="22"/>
  </cols>
  <sheetData>
    <row r="2" customFormat="false" ht="17.25" hidden="false" customHeight="true" outlineLevel="0" collapsed="false">
      <c r="B2" s="2" t="s">
        <v>96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97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6" t="s">
        <v>98</v>
      </c>
      <c r="C5" s="7" t="n">
        <v>7</v>
      </c>
      <c r="D5" s="35" t="s">
        <v>99</v>
      </c>
    </row>
    <row r="6" customFormat="false" ht="15" hidden="false" customHeight="true" outlineLevel="0" collapsed="false">
      <c r="B6" s="6" t="s">
        <v>100</v>
      </c>
      <c r="C6" s="25" t="n">
        <f aca="false">Inputs!C6</f>
        <v>224</v>
      </c>
      <c r="D6" s="35" t="s">
        <v>101</v>
      </c>
    </row>
    <row r="7" customFormat="false" ht="15" hidden="false" customHeight="true" outlineLevel="0" collapsed="false">
      <c r="B7" s="6" t="s">
        <v>102</v>
      </c>
      <c r="C7" s="36" t="n">
        <f aca="false">C5*C6/3600</f>
        <v>0.435555555555556</v>
      </c>
    </row>
    <row r="9" customFormat="false" ht="15" hidden="false" customHeight="true" outlineLevel="0" collapsed="false">
      <c r="B9" s="37" t="s">
        <v>103</v>
      </c>
      <c r="C9" s="38"/>
      <c r="D9" s="38"/>
      <c r="E9" s="38"/>
      <c r="F9" s="38"/>
      <c r="G9" s="38"/>
    </row>
    <row r="10" customFormat="false" ht="15" hidden="false" customHeight="true" outlineLevel="0" collapsed="false">
      <c r="B10" s="39" t="s">
        <v>104</v>
      </c>
      <c r="C10" s="39" t="s">
        <v>105</v>
      </c>
      <c r="D10" s="39" t="s">
        <v>106</v>
      </c>
      <c r="E10" s="39" t="s">
        <v>45</v>
      </c>
      <c r="F10" s="39" t="s">
        <v>47</v>
      </c>
      <c r="G10" s="39" t="s">
        <v>46</v>
      </c>
    </row>
    <row r="11" customFormat="false" ht="15" hidden="false" customHeight="true" outlineLevel="0" collapsed="false">
      <c r="B11" s="40" t="n">
        <v>1</v>
      </c>
      <c r="C11" s="41" t="n">
        <f aca="false">$C$7</f>
        <v>0.435555555555556</v>
      </c>
      <c r="D11" s="42" t="n">
        <f aca="false">IF(B11&lt;=$C$7,"N/A",1-POISSON(B11-1,$C$7,1))</f>
        <v>0.353094824535648</v>
      </c>
      <c r="E11" s="30" t="n">
        <f aca="false">IF(B11&lt;=$C$7,0,(1-D11*EXP(-(B11-$C$7)*Inputs!$C$8/Inputs!$C$6))*100)</f>
        <v>66.4259070228588</v>
      </c>
      <c r="F11" s="30" t="n">
        <f aca="false">IF(B11=0,0,$C$7/B11*100)</f>
        <v>43.5555555555556</v>
      </c>
      <c r="G11" s="28" t="n">
        <f aca="false">ROUNDUP(B11/Inputs!$C$15,0)</f>
        <v>2</v>
      </c>
    </row>
    <row r="12" customFormat="false" ht="15" hidden="false" customHeight="true" outlineLevel="0" collapsed="false">
      <c r="B12" s="43" t="n">
        <v>2</v>
      </c>
      <c r="C12" s="21" t="n">
        <f aca="false">$C$7</f>
        <v>0.435555555555556</v>
      </c>
      <c r="D12" s="22" t="n">
        <f aca="false">IF(B12&lt;=$C$7,"N/A",1-POISSON(B12-1,$C$7,1))</f>
        <v>0.0713316814445075</v>
      </c>
      <c r="E12" s="23" t="n">
        <f aca="false">IF(B12&lt;=$C$7,0,(1-D12*EXP(-(B12-$C$7)*Inputs!$C$8/Inputs!$C$6))*100)</f>
        <v>93.7967525567865</v>
      </c>
      <c r="F12" s="23" t="n">
        <f aca="false">IF(B12=0,0,$C$7/B12*100)</f>
        <v>21.7777777777778</v>
      </c>
      <c r="G12" s="25" t="n">
        <f aca="false">ROUNDUP(B12/Inputs!$C$15,0)</f>
        <v>3</v>
      </c>
    </row>
    <row r="13" customFormat="false" ht="15" hidden="false" customHeight="true" outlineLevel="0" collapsed="false">
      <c r="B13" s="40" t="n">
        <v>3</v>
      </c>
      <c r="C13" s="41" t="n">
        <f aca="false">$C$7</f>
        <v>0.435555555555556</v>
      </c>
      <c r="D13" s="42" t="n">
        <f aca="false">IF(B13&lt;=$C$7,"N/A",1-POISSON(B13-1,$C$7,1))</f>
        <v>0.00996993028243709</v>
      </c>
      <c r="E13" s="30" t="n">
        <f aca="false">IF(B13&lt;=$C$7,0,(1-D13*EXP(-(B13-$C$7)*Inputs!$C$8/Inputs!$C$6))*100)</f>
        <v>99.2070378239293</v>
      </c>
      <c r="F13" s="30" t="n">
        <f aca="false">IF(B13=0,0,$C$7/B13*100)</f>
        <v>14.5185185185185</v>
      </c>
      <c r="G13" s="28" t="n">
        <f aca="false">ROUNDUP(B13/Inputs!$C$15,0)</f>
        <v>5</v>
      </c>
    </row>
    <row r="14" customFormat="false" ht="15" hidden="false" customHeight="true" outlineLevel="0" collapsed="false">
      <c r="B14" s="43" t="n">
        <v>4</v>
      </c>
      <c r="C14" s="21" t="n">
        <f aca="false">$C$7</f>
        <v>0.435555555555556</v>
      </c>
      <c r="D14" s="22" t="n">
        <f aca="false">IF(B14&lt;=$C$7,"N/A",1-POISSON(B14-1,$C$7,1))</f>
        <v>0.00106111307668466</v>
      </c>
      <c r="E14" s="23" t="n">
        <f aca="false">IF(B14&lt;=$C$7,0,(1-D14*EXP(-(B14-$C$7)*Inputs!$C$8/Inputs!$C$6))*100)</f>
        <v>99.9228127222658</v>
      </c>
      <c r="F14" s="23" t="n">
        <f aca="false">IF(B14=0,0,$C$7/B14*100)</f>
        <v>10.8888888888889</v>
      </c>
      <c r="G14" s="25" t="n">
        <f aca="false">ROUNDUP(B14/Inputs!$C$15,0)</f>
        <v>6</v>
      </c>
    </row>
    <row r="15" customFormat="false" ht="15" hidden="false" customHeight="true" outlineLevel="0" collapsed="false">
      <c r="B15" s="40" t="n">
        <v>5</v>
      </c>
      <c r="C15" s="41" t="n">
        <f aca="false">$C$7</f>
        <v>0.435555555555556</v>
      </c>
      <c r="D15" s="42" t="n">
        <f aca="false">IF(B15&lt;=$C$7,"N/A",1-POISSON(B15-1,$C$7,1))</f>
        <v>9.10418698359949E-005</v>
      </c>
      <c r="E15" s="30" t="n">
        <f aca="false">IF(B15&lt;=$C$7,0,(1-D15*EXP(-(B15-$C$7)*Inputs!$C$8/Inputs!$C$6))*100)</f>
        <v>99.9939431205013</v>
      </c>
      <c r="F15" s="30" t="n">
        <f aca="false">IF(B15=0,0,$C$7/B15*100)</f>
        <v>8.71111111111111</v>
      </c>
      <c r="G15" s="28" t="n">
        <f aca="false">ROUNDUP(B15/Inputs!$C$15,0)</f>
        <v>8</v>
      </c>
    </row>
    <row r="16" customFormat="false" ht="15" hidden="false" customHeight="true" outlineLevel="0" collapsed="false">
      <c r="B16" s="43" t="n">
        <v>6</v>
      </c>
      <c r="C16" s="21" t="n">
        <f aca="false">$C$7</f>
        <v>0.435555555555556</v>
      </c>
      <c r="D16" s="22" t="n">
        <f aca="false">IF(B16&lt;=$C$7,"N/A",1-POISSON(B16-1,$C$7,1))</f>
        <v>6.53788915050413E-006</v>
      </c>
      <c r="E16" s="23" t="n">
        <f aca="false">IF(B16&lt;=$C$7,0,(1-D16*EXP(-(B16-$C$7)*Inputs!$C$8/Inputs!$C$6))*100)</f>
        <v>99.999602196111</v>
      </c>
      <c r="F16" s="23" t="n">
        <f aca="false">IF(B16=0,0,$C$7/B16*100)</f>
        <v>7.25925925925926</v>
      </c>
      <c r="G16" s="25" t="n">
        <f aca="false">ROUNDUP(B16/Inputs!$C$15,0)</f>
        <v>9</v>
      </c>
    </row>
    <row r="17" customFormat="false" ht="15" hidden="false" customHeight="true" outlineLevel="0" collapsed="false">
      <c r="B17" s="40" t="n">
        <v>7</v>
      </c>
      <c r="C17" s="41" t="n">
        <f aca="false">$C$7</f>
        <v>0.435555555555556</v>
      </c>
      <c r="D17" s="42" t="n">
        <f aca="false">IF(B17&lt;=$C$7,"N/A",1-POISSON(B17-1,$C$7,1))</f>
        <v>4.03526108194718E-007</v>
      </c>
      <c r="E17" s="30" t="n">
        <f aca="false">IF(B17&lt;=$C$7,0,(1-D17*EXP(-(B17-$C$7)*Inputs!$C$8/Inputs!$C$6))*100)</f>
        <v>99.9999775442886</v>
      </c>
      <c r="F17" s="30" t="n">
        <f aca="false">IF(B17=0,0,$C$7/B17*100)</f>
        <v>6.22222222222222</v>
      </c>
      <c r="G17" s="28" t="n">
        <f aca="false">ROUNDUP(B17/Inputs!$C$15,0)</f>
        <v>10</v>
      </c>
    </row>
    <row r="18" customFormat="false" ht="15" hidden="false" customHeight="true" outlineLevel="0" collapsed="false">
      <c r="B18" s="43" t="n">
        <v>8</v>
      </c>
      <c r="C18" s="21" t="n">
        <f aca="false">$C$7</f>
        <v>0.435555555555556</v>
      </c>
      <c r="D18" s="22" t="n">
        <f aca="false">IF(B18&lt;=$C$7,"N/A",1-POISSON(B18-1,$C$7,1))</f>
        <v>2.1832407770539E-008</v>
      </c>
      <c r="E18" s="23" t="n">
        <f aca="false">IF(B18&lt;=$C$7,0,(1-D18*EXP(-(B18-$C$7)*Inputs!$C$8/Inputs!$C$6))*100)</f>
        <v>99.99999888883</v>
      </c>
      <c r="F18" s="23" t="n">
        <f aca="false">IF(B18=0,0,$C$7/B18*100)</f>
        <v>5.44444444444444</v>
      </c>
      <c r="G18" s="25" t="n">
        <f aca="false">ROUNDUP(B18/Inputs!$C$15,0)</f>
        <v>12</v>
      </c>
    </row>
    <row r="19" customFormat="false" ht="15" hidden="false" customHeight="true" outlineLevel="0" collapsed="false">
      <c r="B19" s="40" t="n">
        <v>9</v>
      </c>
      <c r="C19" s="41" t="n">
        <f aca="false">$C$7</f>
        <v>0.435555555555556</v>
      </c>
      <c r="D19" s="42" t="n">
        <f aca="false">IF(B19&lt;=$C$7,"N/A",1-POISSON(B19-1,$C$7,1))</f>
        <v>1.05130626426586E-009</v>
      </c>
      <c r="E19" s="30" t="n">
        <f aca="false">IF(B19&lt;=$C$7,0,(1-D19*EXP(-(B19-$C$7)*Inputs!$C$8/Inputs!$C$6))*100)</f>
        <v>99.9999999510636</v>
      </c>
      <c r="F19" s="30" t="n">
        <f aca="false">IF(B19=0,0,$C$7/B19*100)</f>
        <v>4.83950617283951</v>
      </c>
      <c r="G19" s="28" t="n">
        <f aca="false">ROUNDUP(B19/Inputs!$C$15,0)</f>
        <v>13</v>
      </c>
    </row>
    <row r="20" customFormat="false" ht="15" hidden="false" customHeight="true" outlineLevel="0" collapsed="false">
      <c r="B20" s="43" t="n">
        <v>10</v>
      </c>
      <c r="C20" s="21" t="n">
        <f aca="false">$C$7</f>
        <v>0.435555555555556</v>
      </c>
      <c r="D20" s="22" t="n">
        <f aca="false">IF(B20&lt;=$C$7,"N/A",1-POISSON(B20-1,$C$7,1))</f>
        <v>4.56036319818054E-011</v>
      </c>
      <c r="E20" s="23" t="n">
        <f aca="false">IF(B20&lt;=$C$7,0,(1-D20*EXP(-(B20-$C$7)*Inputs!$C$8/Inputs!$C$6))*100)</f>
        <v>99.9999999980586</v>
      </c>
      <c r="F20" s="23" t="n">
        <f aca="false">IF(B20=0,0,$C$7/B20*100)</f>
        <v>4.35555555555556</v>
      </c>
      <c r="G20" s="25" t="n">
        <f aca="false">ROUNDUP(B20/Inputs!$C$15,0)</f>
        <v>15</v>
      </c>
    </row>
    <row r="21" customFormat="false" ht="15" hidden="false" customHeight="true" outlineLevel="0" collapsed="false">
      <c r="B21" s="40" t="n">
        <v>11</v>
      </c>
      <c r="C21" s="41" t="n">
        <f aca="false">$C$7</f>
        <v>0.435555555555556</v>
      </c>
      <c r="D21" s="42" t="n">
        <f aca="false">IF(B21&lt;=$C$7,"N/A",1-POISSON(B21-1,$C$7,1))</f>
        <v>1.79967152291738E-012</v>
      </c>
      <c r="E21" s="30" t="n">
        <f aca="false">IF(B21&lt;=$C$7,0,(1-D21*EXP(-(B21-$C$7)*Inputs!$C$8/Inputs!$C$6))*100)</f>
        <v>99.9999999999299</v>
      </c>
      <c r="F21" s="30" t="n">
        <f aca="false">IF(B21=0,0,$C$7/B21*100)</f>
        <v>3.95959595959596</v>
      </c>
      <c r="G21" s="28" t="n">
        <f aca="false">ROUNDUP(B21/Inputs!$C$15,0)</f>
        <v>16</v>
      </c>
    </row>
    <row r="22" customFormat="false" ht="15" hidden="false" customHeight="true" outlineLevel="0" collapsed="false">
      <c r="B22" s="43" t="n">
        <v>12</v>
      </c>
      <c r="C22" s="21" t="n">
        <f aca="false">$C$7</f>
        <v>0.435555555555556</v>
      </c>
      <c r="D22" s="22" t="n">
        <f aca="false">IF(B22&lt;=$C$7,"N/A",1-POISSON(B22-1,$C$7,1))</f>
        <v>6.51700915454967E-014</v>
      </c>
      <c r="E22" s="23" t="n">
        <f aca="false">IF(B22&lt;=$C$7,0,(1-D22*EXP(-(B22-$C$7)*Inputs!$C$8/Inputs!$C$6))*100)</f>
        <v>99.9999999999977</v>
      </c>
      <c r="F22" s="23" t="n">
        <f aca="false">IF(B22=0,0,$C$7/B22*100)</f>
        <v>3.62962962962963</v>
      </c>
      <c r="G22" s="25" t="n">
        <f aca="false">ROUNDUP(B22/Inputs!$C$15,0)</f>
        <v>18</v>
      </c>
    </row>
    <row r="23" customFormat="false" ht="15" hidden="false" customHeight="true" outlineLevel="0" collapsed="false">
      <c r="B23" s="40" t="n">
        <v>13</v>
      </c>
      <c r="C23" s="41" t="n">
        <f aca="false">$C$7</f>
        <v>0.435555555555556</v>
      </c>
      <c r="D23" s="42" t="n">
        <f aca="false">IF(B23&lt;=$C$7,"N/A",1-POISSON(B23-1,$C$7,1))</f>
        <v>0</v>
      </c>
      <c r="E23" s="30" t="n">
        <f aca="false">IF(B23&lt;=$C$7,0,(1-D23*EXP(-(B23-$C$7)*Inputs!$C$8/Inputs!$C$6))*100)</f>
        <v>100</v>
      </c>
      <c r="F23" s="30" t="n">
        <f aca="false">IF(B23=0,0,$C$7/B23*100)</f>
        <v>3.35042735042735</v>
      </c>
      <c r="G23" s="28" t="n">
        <f aca="false">ROUNDUP(B23/Inputs!$C$15,0)</f>
        <v>19</v>
      </c>
    </row>
    <row r="24" customFormat="false" ht="15" hidden="false" customHeight="true" outlineLevel="0" collapsed="false">
      <c r="B24" s="43" t="n">
        <v>14</v>
      </c>
      <c r="C24" s="21" t="n">
        <f aca="false">$C$7</f>
        <v>0.435555555555556</v>
      </c>
      <c r="D24" s="22" t="n">
        <f aca="false">IF(B24&lt;=$C$7,"N/A",1-POISSON(B24-1,$C$7,1))</f>
        <v>0</v>
      </c>
      <c r="E24" s="23" t="n">
        <f aca="false">IF(B24&lt;=$C$7,0,(1-D24*EXP(-(B24-$C$7)*Inputs!$C$8/Inputs!$C$6))*100)</f>
        <v>100</v>
      </c>
      <c r="F24" s="23" t="n">
        <f aca="false">IF(B24=0,0,$C$7/B24*100)</f>
        <v>3.11111111111111</v>
      </c>
      <c r="G24" s="25" t="n">
        <f aca="false">ROUNDUP(B24/Inputs!$C$15,0)</f>
        <v>20</v>
      </c>
    </row>
    <row r="25" customFormat="false" ht="15" hidden="false" customHeight="true" outlineLevel="0" collapsed="false">
      <c r="B25" s="40" t="n">
        <v>15</v>
      </c>
      <c r="C25" s="41" t="n">
        <f aca="false">$C$7</f>
        <v>0.435555555555556</v>
      </c>
      <c r="D25" s="42" t="n">
        <f aca="false">IF(B25&lt;=$C$7,"N/A",1-POISSON(B25-1,$C$7,1))</f>
        <v>0</v>
      </c>
      <c r="E25" s="30" t="n">
        <f aca="false">IF(B25&lt;=$C$7,0,(1-D25*EXP(-(B25-$C$7)*Inputs!$C$8/Inputs!$C$6))*100)</f>
        <v>100</v>
      </c>
      <c r="F25" s="30" t="n">
        <f aca="false">IF(B25=0,0,$C$7/B25*100)</f>
        <v>2.9037037037037</v>
      </c>
      <c r="G25" s="28" t="n">
        <f aca="false">ROUNDUP(B25/Inputs!$C$15,0)</f>
        <v>22</v>
      </c>
    </row>
    <row r="27" customFormat="false" ht="15" hidden="false" customHeight="true" outlineLevel="0" collapsed="false">
      <c r="B27" s="44" t="s">
        <v>107</v>
      </c>
    </row>
    <row r="28" customFormat="false" ht="15" hidden="false" customHeight="true" outlineLevel="0" collapsed="false">
      <c r="B28" s="35" t="s">
        <v>108</v>
      </c>
    </row>
    <row r="29" customFormat="false" ht="15" hidden="false" customHeight="true" outlineLevel="0" collapsed="false">
      <c r="B29" s="35" t="s">
        <v>109</v>
      </c>
    </row>
    <row r="30" customFormat="false" ht="15" hidden="false" customHeight="true" outlineLevel="0" collapsed="false">
      <c r="B30" s="35" t="s">
        <v>110</v>
      </c>
    </row>
    <row r="31" customFormat="false" ht="15" hidden="false" customHeight="true" outlineLevel="0" collapsed="false">
      <c r="B31" s="35" t="s">
        <v>111</v>
      </c>
    </row>
    <row r="32" customFormat="false" ht="15" hidden="false" customHeight="true" outlineLevel="0" collapsed="false">
      <c r="B32" s="35" t="s">
        <v>112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2026-04-12T12:51:45Z</dcterms:created>
  <dc:creator>openpyxl</dc:creator>
  <dc:description/>
  <dc:language>en-US</dc:language>
  <cp:lastModifiedBy/>
  <dcterms:modified xsi:type="dcterms:W3CDTF">2026-04-12T12:52:19Z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